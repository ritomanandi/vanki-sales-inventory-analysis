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D:\BDM\"/>
    </mc:Choice>
  </mc:AlternateContent>
  <xr:revisionPtr revIDLastSave="0" documentId="13_ncr:2001_{7D644A84-E78A-4436-B9F6-D5CC4BCACC13}" xr6:coauthVersionLast="47" xr6:coauthVersionMax="47" xr10:uidLastSave="{00000000-0000-0000-0000-000000000000}"/>
  <bookViews>
    <workbookView xWindow="-110" yWindow="-110" windowWidth="19420" windowHeight="12220" tabRatio="500" firstSheet="1" activeTab="2" xr2:uid="{00000000-000D-0000-FFFF-FFFF00000000}"/>
  </bookViews>
  <sheets>
    <sheet name="Invoices" sheetId="1" r:id="rId1"/>
    <sheet name="Daily Sales" sheetId="2" r:id="rId2"/>
    <sheet name="Product Summary" sheetId="3" r:id="rId3"/>
    <sheet name="All Holds" sheetId="5" r:id="rId4"/>
    <sheet name="Hold Tracker" sheetId="4" r:id="rId5"/>
  </sheets>
  <definedNames>
    <definedName name="_xlcn.WorksheetConnection_DailySalesA1I205" hidden="1">'Daily Sales'!$A$1:$I$205</definedName>
    <definedName name="_xlcn.WorksheetConnection_DailySalesA1I2051" hidden="1">'Daily Sales'!$A$1:$I$205</definedName>
  </definedNames>
  <calcPr calcId="191029" iterateDelta="1E-4"/>
  <pivotCaches>
    <pivotCache cacheId="6" r:id="rId6"/>
    <pivotCache cacheId="7" r:id="rId7"/>
    <pivotCache cacheId="8" r:id="rId8"/>
    <pivotCache cacheId="9" r:id="rId9"/>
    <pivotCache cacheId="10" r:id="rId10"/>
    <pivotCache cacheId="11" r:id="rId11"/>
  </pivotCaches>
  <fileRecoveryPr repairLoad="1"/>
  <extLst>
    <ext xmlns:x15="http://schemas.microsoft.com/office/spreadsheetml/2010/11/main" uri="{FCE2AD5D-F65C-4FA6-A056-5C36A1767C68}">
      <x15:dataModel>
        <x15:modelTables>
          <x15:modelTable id="Range" name="Range" connection="WorksheetConnection_Daily Sales!$A$1:$I$20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2" i="3"/>
  <c r="K56" i="5"/>
  <c r="K55" i="5"/>
  <c r="K54" i="5"/>
  <c r="K53" i="5"/>
  <c r="K52" i="5"/>
  <c r="K51" i="5"/>
  <c r="K48" i="5"/>
  <c r="K49" i="5"/>
  <c r="K50" i="5"/>
  <c r="K47" i="5"/>
  <c r="K46" i="5"/>
  <c r="K40" i="5"/>
  <c r="K41" i="5"/>
  <c r="K42" i="5"/>
  <c r="K43" i="5"/>
  <c r="K44" i="5"/>
  <c r="K45" i="5"/>
  <c r="K39" i="5"/>
  <c r="K38" i="5"/>
  <c r="K37" i="5"/>
  <c r="K36" i="5"/>
  <c r="K35" i="5"/>
  <c r="K34" i="5"/>
  <c r="K33" i="5"/>
  <c r="K31" i="5"/>
  <c r="K32" i="5"/>
  <c r="K30" i="5"/>
  <c r="K28" i="5"/>
  <c r="K29" i="5"/>
  <c r="K27" i="5"/>
  <c r="K26" i="5"/>
  <c r="K25" i="5"/>
  <c r="K24" i="5"/>
  <c r="K23" i="5"/>
  <c r="K22" i="5"/>
  <c r="K21" i="5"/>
  <c r="K20" i="5"/>
  <c r="K19" i="5"/>
  <c r="K18" i="5"/>
  <c r="K16" i="5"/>
  <c r="K17" i="5"/>
  <c r="K15" i="5"/>
  <c r="K13" i="5"/>
  <c r="K14" i="5"/>
  <c r="K12" i="5"/>
  <c r="K11" i="5"/>
  <c r="K10" i="5"/>
  <c r="K9" i="5"/>
  <c r="K4" i="5"/>
  <c r="K5" i="5"/>
  <c r="K6" i="5"/>
  <c r="K7" i="5"/>
  <c r="K8" i="5"/>
  <c r="K3" i="5"/>
  <c r="K2" i="5"/>
  <c r="K2" i="4"/>
  <c r="U31" i="4"/>
  <c r="U30" i="4"/>
  <c r="U29" i="4"/>
  <c r="U25" i="4"/>
  <c r="U24" i="4"/>
  <c r="U23" i="4"/>
  <c r="U22" i="4"/>
  <c r="N16" i="4"/>
  <c r="N10" i="4"/>
  <c r="N5" i="4"/>
  <c r="N11" i="4"/>
  <c r="N9" i="4"/>
  <c r="N8" i="4"/>
  <c r="U55" i="4"/>
  <c r="U56" i="4"/>
  <c r="U51" i="4"/>
  <c r="U50" i="4"/>
  <c r="U46" i="4"/>
  <c r="U45" i="4"/>
  <c r="U41" i="4" a="1"/>
  <c r="U40" i="4"/>
  <c r="U35" i="4"/>
  <c r="U36" i="4"/>
  <c r="U16" i="4"/>
  <c r="U17" i="4"/>
  <c r="U18" i="4"/>
  <c r="U9" i="4"/>
  <c r="U10" i="4"/>
  <c r="U11" i="4"/>
  <c r="U12" i="4"/>
  <c r="N32" i="4"/>
  <c r="N31" i="4"/>
  <c r="N7" i="4"/>
  <c r="N6" i="4"/>
  <c r="N4" i="4"/>
  <c r="N3" i="4"/>
  <c r="N2" i="4"/>
  <c r="V2" i="2"/>
  <c r="W2" i="2"/>
  <c r="X2" i="2"/>
  <c r="V3" i="2"/>
  <c r="W3" i="2"/>
  <c r="X3" i="2"/>
  <c r="V4" i="2"/>
  <c r="W4" i="2"/>
  <c r="X4" i="2"/>
  <c r="V5" i="2"/>
  <c r="W5" i="2"/>
  <c r="X5" i="2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H29" i="2"/>
  <c r="I29" i="2"/>
  <c r="H30" i="2"/>
  <c r="I30" i="2"/>
  <c r="H31" i="2"/>
  <c r="I31" i="2"/>
  <c r="H32" i="2"/>
  <c r="I32" i="2"/>
  <c r="H33" i="2"/>
  <c r="I33" i="2"/>
  <c r="H34" i="2"/>
  <c r="I34" i="2"/>
  <c r="H35" i="2"/>
  <c r="I35" i="2"/>
  <c r="H36" i="2"/>
  <c r="I36" i="2"/>
  <c r="H37" i="2"/>
  <c r="I37" i="2"/>
  <c r="H38" i="2"/>
  <c r="I38" i="2"/>
  <c r="H39" i="2"/>
  <c r="I39" i="2"/>
  <c r="H40" i="2"/>
  <c r="I40" i="2"/>
  <c r="H41" i="2"/>
  <c r="I41" i="2"/>
  <c r="H42" i="2"/>
  <c r="I42" i="2"/>
  <c r="H43" i="2"/>
  <c r="I43" i="2"/>
  <c r="H44" i="2"/>
  <c r="I44" i="2"/>
  <c r="H45" i="2"/>
  <c r="I45" i="2"/>
  <c r="H46" i="2"/>
  <c r="I46" i="2"/>
  <c r="H47" i="2"/>
  <c r="I47" i="2"/>
  <c r="H48" i="2"/>
  <c r="I48" i="2"/>
  <c r="H49" i="2"/>
  <c r="I49" i="2"/>
  <c r="H50" i="2"/>
  <c r="I50" i="2"/>
  <c r="H51" i="2"/>
  <c r="I51" i="2"/>
  <c r="H52" i="2"/>
  <c r="I52" i="2"/>
  <c r="H53" i="2"/>
  <c r="I53" i="2"/>
  <c r="H54" i="2"/>
  <c r="I54" i="2"/>
  <c r="H55" i="2"/>
  <c r="I55" i="2"/>
  <c r="H56" i="2"/>
  <c r="I56" i="2"/>
  <c r="H57" i="2"/>
  <c r="I57" i="2"/>
  <c r="H58" i="2"/>
  <c r="I58" i="2"/>
  <c r="H59" i="2"/>
  <c r="I59" i="2"/>
  <c r="H60" i="2"/>
  <c r="I60" i="2"/>
  <c r="H61" i="2"/>
  <c r="I61" i="2"/>
  <c r="H62" i="2"/>
  <c r="I62" i="2"/>
  <c r="H63" i="2"/>
  <c r="I63" i="2"/>
  <c r="H64" i="2"/>
  <c r="I64" i="2"/>
  <c r="H65" i="2"/>
  <c r="I65" i="2"/>
  <c r="H66" i="2"/>
  <c r="I66" i="2"/>
  <c r="H67" i="2"/>
  <c r="I67" i="2"/>
  <c r="H68" i="2"/>
  <c r="I68" i="2"/>
  <c r="H69" i="2"/>
  <c r="I69" i="2"/>
  <c r="H70" i="2"/>
  <c r="I70" i="2"/>
  <c r="H71" i="2"/>
  <c r="I71" i="2"/>
  <c r="H72" i="2"/>
  <c r="I72" i="2"/>
  <c r="H73" i="2"/>
  <c r="I73" i="2"/>
  <c r="H74" i="2"/>
  <c r="I74" i="2"/>
  <c r="H75" i="2"/>
  <c r="I75" i="2"/>
  <c r="H76" i="2"/>
  <c r="I76" i="2"/>
  <c r="H77" i="2"/>
  <c r="I77" i="2"/>
  <c r="H78" i="2"/>
  <c r="I78" i="2"/>
  <c r="H79" i="2"/>
  <c r="I79" i="2"/>
  <c r="H80" i="2"/>
  <c r="I80" i="2"/>
  <c r="H81" i="2"/>
  <c r="I81" i="2"/>
  <c r="H82" i="2"/>
  <c r="I82" i="2"/>
  <c r="H83" i="2"/>
  <c r="I83" i="2"/>
  <c r="H84" i="2"/>
  <c r="I84" i="2"/>
  <c r="H85" i="2"/>
  <c r="I85" i="2"/>
  <c r="H86" i="2"/>
  <c r="I86" i="2"/>
  <c r="H87" i="2"/>
  <c r="I87" i="2"/>
  <c r="H88" i="2"/>
  <c r="I88" i="2"/>
  <c r="H89" i="2"/>
  <c r="I89" i="2"/>
  <c r="H90" i="2"/>
  <c r="I90" i="2"/>
  <c r="H91" i="2"/>
  <c r="I91" i="2"/>
  <c r="H92" i="2"/>
  <c r="I92" i="2"/>
  <c r="H93" i="2"/>
  <c r="I93" i="2"/>
  <c r="H94" i="2"/>
  <c r="I94" i="2"/>
  <c r="H95" i="2"/>
  <c r="I95" i="2"/>
  <c r="H96" i="2"/>
  <c r="I96" i="2"/>
  <c r="H97" i="2"/>
  <c r="I97" i="2"/>
  <c r="H98" i="2"/>
  <c r="I98" i="2"/>
  <c r="H99" i="2"/>
  <c r="I99" i="2"/>
  <c r="H100" i="2"/>
  <c r="I100" i="2"/>
  <c r="H101" i="2"/>
  <c r="I101" i="2"/>
  <c r="H102" i="2"/>
  <c r="I102" i="2"/>
  <c r="H103" i="2"/>
  <c r="I103" i="2"/>
  <c r="H104" i="2"/>
  <c r="I104" i="2"/>
  <c r="H105" i="2"/>
  <c r="I105" i="2"/>
  <c r="H106" i="2"/>
  <c r="I106" i="2"/>
  <c r="H107" i="2"/>
  <c r="I107" i="2"/>
  <c r="H108" i="2"/>
  <c r="I108" i="2"/>
  <c r="H109" i="2"/>
  <c r="I109" i="2"/>
  <c r="H110" i="2"/>
  <c r="I110" i="2"/>
  <c r="H111" i="2"/>
  <c r="I111" i="2"/>
  <c r="H112" i="2"/>
  <c r="I112" i="2"/>
  <c r="H113" i="2"/>
  <c r="I113" i="2"/>
  <c r="H114" i="2"/>
  <c r="I114" i="2"/>
  <c r="H115" i="2"/>
  <c r="I115" i="2"/>
  <c r="H116" i="2"/>
  <c r="I116" i="2"/>
  <c r="H117" i="2"/>
  <c r="I117" i="2"/>
  <c r="H118" i="2"/>
  <c r="I118" i="2"/>
  <c r="H119" i="2"/>
  <c r="I119" i="2"/>
  <c r="H120" i="2"/>
  <c r="I120" i="2"/>
  <c r="H121" i="2"/>
  <c r="I121" i="2"/>
  <c r="H122" i="2"/>
  <c r="I122" i="2"/>
  <c r="H123" i="2"/>
  <c r="I123" i="2"/>
  <c r="H124" i="2"/>
  <c r="I124" i="2"/>
  <c r="H125" i="2"/>
  <c r="I125" i="2"/>
  <c r="H126" i="2"/>
  <c r="I126" i="2"/>
  <c r="H127" i="2"/>
  <c r="I127" i="2"/>
  <c r="H128" i="2"/>
  <c r="I128" i="2"/>
  <c r="H129" i="2"/>
  <c r="I129" i="2"/>
  <c r="H130" i="2"/>
  <c r="I130" i="2"/>
  <c r="H131" i="2"/>
  <c r="I131" i="2"/>
  <c r="H132" i="2"/>
  <c r="I132" i="2"/>
  <c r="H133" i="2"/>
  <c r="I133" i="2"/>
  <c r="H134" i="2"/>
  <c r="I134" i="2"/>
  <c r="H135" i="2"/>
  <c r="I135" i="2"/>
  <c r="H136" i="2"/>
  <c r="I136" i="2"/>
  <c r="H137" i="2"/>
  <c r="I137" i="2"/>
  <c r="H138" i="2"/>
  <c r="I138" i="2"/>
  <c r="H139" i="2"/>
  <c r="I139" i="2"/>
  <c r="H140" i="2"/>
  <c r="I140" i="2"/>
  <c r="H141" i="2"/>
  <c r="I141" i="2"/>
  <c r="H142" i="2"/>
  <c r="I142" i="2"/>
  <c r="H143" i="2"/>
  <c r="I143" i="2"/>
  <c r="H144" i="2"/>
  <c r="I144" i="2"/>
  <c r="H145" i="2"/>
  <c r="I145" i="2"/>
  <c r="H146" i="2"/>
  <c r="I146" i="2"/>
  <c r="H147" i="2"/>
  <c r="I147" i="2"/>
  <c r="H148" i="2"/>
  <c r="I148" i="2"/>
  <c r="H149" i="2"/>
  <c r="I149" i="2"/>
  <c r="H150" i="2"/>
  <c r="I150" i="2"/>
  <c r="H151" i="2"/>
  <c r="I151" i="2"/>
  <c r="H152" i="2"/>
  <c r="I152" i="2"/>
  <c r="H153" i="2"/>
  <c r="I153" i="2"/>
  <c r="H154" i="2"/>
  <c r="I154" i="2"/>
  <c r="H155" i="2"/>
  <c r="I155" i="2"/>
  <c r="H156" i="2"/>
  <c r="I156" i="2"/>
  <c r="H157" i="2"/>
  <c r="I157" i="2"/>
  <c r="H158" i="2"/>
  <c r="I158" i="2"/>
  <c r="H159" i="2"/>
  <c r="I159" i="2"/>
  <c r="H160" i="2"/>
  <c r="I160" i="2"/>
  <c r="H161" i="2"/>
  <c r="I161" i="2"/>
  <c r="H162" i="2"/>
  <c r="I162" i="2"/>
  <c r="H163" i="2"/>
  <c r="I163" i="2"/>
  <c r="H164" i="2"/>
  <c r="I164" i="2"/>
  <c r="H165" i="2"/>
  <c r="I165" i="2"/>
  <c r="H166" i="2"/>
  <c r="I166" i="2"/>
  <c r="H167" i="2"/>
  <c r="I167" i="2"/>
  <c r="H168" i="2"/>
  <c r="I168" i="2"/>
  <c r="H169" i="2"/>
  <c r="I169" i="2"/>
  <c r="H170" i="2"/>
  <c r="I170" i="2"/>
  <c r="H171" i="2"/>
  <c r="I171" i="2"/>
  <c r="H172" i="2"/>
  <c r="I172" i="2"/>
  <c r="H173" i="2"/>
  <c r="I173" i="2"/>
  <c r="H174" i="2"/>
  <c r="I174" i="2"/>
  <c r="H175" i="2"/>
  <c r="I175" i="2"/>
  <c r="H176" i="2"/>
  <c r="I176" i="2"/>
  <c r="H177" i="2"/>
  <c r="I177" i="2"/>
  <c r="H178" i="2"/>
  <c r="I178" i="2"/>
  <c r="H179" i="2"/>
  <c r="I179" i="2"/>
  <c r="H180" i="2"/>
  <c r="I180" i="2"/>
  <c r="H181" i="2"/>
  <c r="I181" i="2"/>
  <c r="H182" i="2"/>
  <c r="I182" i="2"/>
  <c r="H183" i="2"/>
  <c r="I183" i="2"/>
  <c r="H184" i="2"/>
  <c r="I184" i="2"/>
  <c r="H185" i="2"/>
  <c r="I185" i="2"/>
  <c r="H186" i="2"/>
  <c r="I186" i="2"/>
  <c r="H187" i="2"/>
  <c r="I187" i="2"/>
  <c r="H188" i="2"/>
  <c r="I188" i="2"/>
  <c r="H189" i="2"/>
  <c r="I189" i="2"/>
  <c r="H190" i="2"/>
  <c r="I190" i="2"/>
  <c r="H191" i="2"/>
  <c r="I191" i="2"/>
  <c r="H192" i="2"/>
  <c r="I192" i="2"/>
  <c r="H193" i="2"/>
  <c r="I193" i="2"/>
  <c r="H194" i="2"/>
  <c r="I194" i="2"/>
  <c r="H195" i="2"/>
  <c r="I195" i="2"/>
  <c r="H196" i="2"/>
  <c r="I196" i="2"/>
  <c r="H197" i="2"/>
  <c r="I197" i="2"/>
  <c r="H198" i="2"/>
  <c r="I198" i="2"/>
  <c r="H199" i="2"/>
  <c r="I199" i="2"/>
  <c r="H200" i="2"/>
  <c r="I200" i="2"/>
  <c r="H201" i="2"/>
  <c r="I201" i="2"/>
  <c r="H202" i="2"/>
  <c r="I202" i="2"/>
  <c r="H203" i="2"/>
  <c r="I203" i="2"/>
  <c r="H204" i="2"/>
  <c r="I204" i="2"/>
  <c r="H205" i="2"/>
  <c r="I205" i="2"/>
  <c r="V52" i="2"/>
  <c r="V51" i="2"/>
  <c r="V50" i="2"/>
  <c r="V49" i="2"/>
  <c r="U52" i="2"/>
  <c r="V48" i="2"/>
  <c r="U49" i="2"/>
  <c r="U50" i="2"/>
  <c r="U51" i="2"/>
  <c r="U48" i="2"/>
  <c r="P40" i="2"/>
  <c r="P39" i="2"/>
  <c r="P38" i="2"/>
  <c r="P37" i="2"/>
  <c r="M41" i="2"/>
  <c r="M40" i="2"/>
  <c r="M39" i="2"/>
  <c r="M38" i="2"/>
  <c r="M37" i="2"/>
  <c r="P10" i="3"/>
  <c r="H2" i="3"/>
  <c r="H3" i="3" s="1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V5" i="4"/>
  <c r="U5" i="4"/>
  <c r="V4" i="4"/>
  <c r="U4" i="4"/>
  <c r="V3" i="4"/>
  <c r="U3" i="4"/>
  <c r="V2" i="4"/>
  <c r="U2" i="4"/>
  <c r="R12" i="4"/>
  <c r="R11" i="4"/>
  <c r="R10" i="4"/>
  <c r="R9" i="4"/>
  <c r="R5" i="4"/>
  <c r="R4" i="4"/>
  <c r="R3" i="4"/>
  <c r="R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R25" i="4"/>
  <c r="R24" i="4"/>
  <c r="O18" i="4" a="1"/>
  <c r="R20" i="4"/>
  <c r="R19" i="4"/>
  <c r="R18" i="4"/>
  <c r="R17" i="4"/>
  <c r="R16" i="4"/>
  <c r="N27" i="4"/>
  <c r="N26" i="4"/>
  <c r="O22" i="4" a="1"/>
  <c r="N22" i="4" a="1"/>
  <c r="O21" i="4" a="1"/>
  <c r="N21" i="4" a="1"/>
  <c r="O20" i="4" a="1"/>
  <c r="N20" i="4" a="1"/>
  <c r="O19" i="4" a="1"/>
  <c r="N19" i="4" a="1"/>
  <c r="N18" i="4" a="1"/>
  <c r="O17" i="4" a="1"/>
  <c r="N17" i="4" a="1"/>
  <c r="O16" i="4"/>
  <c r="AE5" i="2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P9" i="3"/>
  <c r="G9" i="3"/>
  <c r="P8" i="3"/>
  <c r="G8" i="3"/>
  <c r="G7" i="3"/>
  <c r="G6" i="3"/>
  <c r="K5" i="3"/>
  <c r="G5" i="3"/>
  <c r="P4" i="3"/>
  <c r="K4" i="3"/>
  <c r="G4" i="3"/>
  <c r="P3" i="3"/>
  <c r="K3" i="3"/>
  <c r="G3" i="3"/>
  <c r="P2" i="3"/>
  <c r="K2" i="3"/>
  <c r="L2" i="3" s="1"/>
  <c r="L3" i="3" s="1"/>
  <c r="L4" i="3" s="1"/>
  <c r="L5" i="3" s="1"/>
  <c r="G2" i="3"/>
  <c r="Y2" i="2" l="1"/>
  <c r="Z2" i="2"/>
  <c r="AA2" i="2" s="1"/>
  <c r="Y3" i="2"/>
  <c r="Z3" i="2"/>
  <c r="AA3" i="2" s="1"/>
  <c r="Y4" i="2"/>
  <c r="Z4" i="2"/>
  <c r="AA4" i="2" s="1"/>
  <c r="Y5" i="2"/>
  <c r="Z5" i="2"/>
  <c r="R26" i="4"/>
  <c r="AE4" i="2"/>
  <c r="AE2" i="2"/>
  <c r="AE3" i="2"/>
  <c r="AE8" i="2"/>
  <c r="AE7" i="2"/>
  <c r="AE6" i="2"/>
  <c r="P5" i="3"/>
  <c r="H45" i="3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P6" i="3"/>
  <c r="P7" i="3"/>
  <c r="AA5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10166F8-B712-42AD-B7AC-288C6C85625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9518061D-F001-4643-85E2-81A9B65E1658}" name="WorksheetConnection_Daily Sales!$A$1:$I$205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ailySalesA1I205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<sst xmlns="http://schemas.openxmlformats.org/spreadsheetml/2006/main" count="3053" uniqueCount="498">
  <si>
    <t>#</t>
  </si>
  <si>
    <t>Product Name</t>
  </si>
  <si>
    <t>Category</t>
  </si>
  <si>
    <t>Total Qty Sold</t>
  </si>
  <si>
    <t>Unit Price (₹)</t>
  </si>
  <si>
    <t>Units Returned</t>
  </si>
  <si>
    <t>Total Revenue</t>
  </si>
  <si>
    <t>Cumulative Revenue %</t>
  </si>
  <si>
    <t>Descriptive Stats (Product Summary)</t>
  </si>
  <si>
    <t>Zenith Spark Anti-Tarnish Earrings</t>
  </si>
  <si>
    <t>Earrings</t>
  </si>
  <si>
    <t>Bracelets</t>
  </si>
  <si>
    <t>Max Unit Price (₹)</t>
  </si>
  <si>
    <t>Vanki Anti-Tarnish Radiant Drop</t>
  </si>
  <si>
    <t>Min Unit Price (₹)</t>
  </si>
  <si>
    <t>Lume Wear Non-Tarnish Bangle</t>
  </si>
  <si>
    <t>Rings</t>
  </si>
  <si>
    <t>Avg Unit Price (₹)</t>
  </si>
  <si>
    <t>Pure Luxe Non-Tarnish Bangle</t>
  </si>
  <si>
    <t>Neckpieces</t>
  </si>
  <si>
    <t>Max Revenue Single Product (₹)</t>
  </si>
  <si>
    <t>Luna Spark Anti-Tarnish Ring</t>
  </si>
  <si>
    <t>Min Revenue Single Product (₹)</t>
  </si>
  <si>
    <t>Shine Shield Anti-Tarnish Bangle</t>
  </si>
  <si>
    <t>Avg Revenue per Product (₹)</t>
  </si>
  <si>
    <t>Non-Tarnish Perma Shine Bangle</t>
  </si>
  <si>
    <t>Total Unique Products</t>
  </si>
  <si>
    <t>Vanki Glow Star Studs</t>
  </si>
  <si>
    <t>Total Units Sold</t>
  </si>
  <si>
    <t>Orchid Bloom Anti-Tarnish Bangle</t>
  </si>
  <si>
    <t>Total Revenue (₹)</t>
  </si>
  <si>
    <t>Halo Gleam Anti-Tarnish Bangles</t>
  </si>
  <si>
    <t>Golden Monarch Anti-Tarnish Bangle</t>
  </si>
  <si>
    <t>Bamboo Bliss Non-Tarnish Bangle</t>
  </si>
  <si>
    <t>Crystal Charm Ring</t>
  </si>
  <si>
    <t>Golden Dots Anti-Tarnish Bangles</t>
  </si>
  <si>
    <t>Vanki Anti-Tarnish Wings Bangles</t>
  </si>
  <si>
    <t>Royal Bloom Adjustable Ring</t>
  </si>
  <si>
    <t>Elegance Unbound Anti-Tarnish Bangle</t>
  </si>
  <si>
    <t>Luminous Loop Anti-Tarnish Bangle</t>
  </si>
  <si>
    <t>Starlit Anti-Tarnish Huggie Earrings</t>
  </si>
  <si>
    <t>Vanki Golden Dragonfly Anti-Tarnish Ear Cuff</t>
  </si>
  <si>
    <t>Daily Glow Anti-Tarnish Earrings</t>
  </si>
  <si>
    <t>Vanki Nova Shine</t>
  </si>
  <si>
    <t>Little Luxe Anti-Tarnish Stud</t>
  </si>
  <si>
    <t>Eternal Shine Ring</t>
  </si>
  <si>
    <t>Non-Tarnish Golden Zenith Bangles</t>
  </si>
  <si>
    <t>Vanki Prism Shine Anti-Tarnish Earrings</t>
  </si>
  <si>
    <t>Vanki Spark Anti-Tarnish Earrings</t>
  </si>
  <si>
    <t>Vanki Nova Anti-Tarnish Earrings</t>
  </si>
  <si>
    <t>Glow Bar Anti-Tarnish Chain pendant</t>
  </si>
  <si>
    <t>Aurel Anti-Tarnish Bangles</t>
  </si>
  <si>
    <t>Anti-Tarnish Infinite Shine Drop</t>
  </si>
  <si>
    <t>Vanki Fly away Anti tarnish Stud</t>
  </si>
  <si>
    <t>Vanki Radiance Pendant with Pendant set</t>
  </si>
  <si>
    <t>Glow fly Anti-Tarnish Stud</t>
  </si>
  <si>
    <t>Shine Aura Non-Tarnish Bangle</t>
  </si>
  <si>
    <t>Non-Tarnish Eterna Band</t>
  </si>
  <si>
    <t>Ever Glow Non-Tarnish Bangle</t>
  </si>
  <si>
    <t>Anti-Tarnish Artistry Dots</t>
  </si>
  <si>
    <t>Honey Pop Anti-Tarnish Earrings</t>
  </si>
  <si>
    <t>Aurora Loop Anti-Tarnish Bangle</t>
  </si>
  <si>
    <t>Celestial Trinity Non Tarnish Chain Pendant</t>
  </si>
  <si>
    <t>Lumi Anti-Tarnish Bangles</t>
  </si>
  <si>
    <t>Crown Jewel Drops</t>
  </si>
  <si>
    <t>Trivara Anti-tarnish Earrings</t>
  </si>
  <si>
    <t>Mystic Wing Anti-Tarnish Earrings</t>
  </si>
  <si>
    <t>Vanki Skybird Chain with Pendant</t>
  </si>
  <si>
    <t>Embellished Rose Gold Ring</t>
  </si>
  <si>
    <t>Vanki Tide Spark Tarnish proof Studs</t>
  </si>
  <si>
    <t>Velour Rose Chain Pendant</t>
  </si>
  <si>
    <t>Luminous Delight Anti-Tarnish Bangles</t>
  </si>
  <si>
    <t>Sculpted Open Golden Ring</t>
  </si>
  <si>
    <t>Golden Statement Ring</t>
  </si>
  <si>
    <t>Aurora Loop Anti-Tarnish Bangles</t>
  </si>
  <si>
    <t>Wavy Stainless Steel Anti-Tarnish Ring</t>
  </si>
  <si>
    <t>Vanki Nova Anti-Tarnish Bangle</t>
  </si>
  <si>
    <t>Wings of Fortune Anti-Tarnish Bangle</t>
  </si>
  <si>
    <t>Lustrous Legacy Anti-Tarnish Bangles</t>
  </si>
  <si>
    <t>Vanki Twirl Charm Chain Pendant</t>
  </si>
  <si>
    <t>Aqua Wave Charm Chain Pendant</t>
  </si>
  <si>
    <t>Candy Knot Anti-Tarnish Studs</t>
  </si>
  <si>
    <t>Crystal Glow Dots Anti-Tarnish Earrings</t>
  </si>
  <si>
    <t>Vanki Glow Mood Anti-Tarnish Earrings</t>
  </si>
  <si>
    <t>Infinite Shine Vanki Anti-Tarnish Drop Earrings</t>
  </si>
  <si>
    <t>Velvet Spark Anti-Tarnish Earrings</t>
  </si>
  <si>
    <t>Stainless Steel Anti-Tarnish Golden Ring</t>
  </si>
  <si>
    <t>Vanki Non-Tarnish Evil Eye Bangles</t>
  </si>
  <si>
    <t>Starlet Anti-Tarnish Studs</t>
  </si>
  <si>
    <t>Sweet Twinkle Anti-Tarnish Earrings</t>
  </si>
  <si>
    <t>Silver-Plated Anti-Tarnish Anxiety Spinning Ring Inlaid with Cubic Zirconia Stones</t>
  </si>
  <si>
    <t>Enamelled Gold Ring</t>
  </si>
  <si>
    <t>Twinkle Babe Anti-Tarnish Studs</t>
  </si>
  <si>
    <t>The Tangled Heart - Golden Adjustable Ring</t>
  </si>
  <si>
    <t>Butterfly Twist Ring</t>
  </si>
  <si>
    <t>Golden Adjustable Ring</t>
  </si>
  <si>
    <t>Order No.</t>
  </si>
  <si>
    <t>Date (DD-MM-YYYY)</t>
  </si>
  <si>
    <t>No. of Items</t>
  </si>
  <si>
    <t>Item 1 Name</t>
  </si>
  <si>
    <t>Item 1 Category</t>
  </si>
  <si>
    <t>Item 1 Qty</t>
  </si>
  <si>
    <t>Item 1 Price (₹)</t>
  </si>
  <si>
    <t>Item 2 Name</t>
  </si>
  <si>
    <t>Item 2 Category</t>
  </si>
  <si>
    <t>Item 2 Qty</t>
  </si>
  <si>
    <t>Item 2 Price (₹)</t>
  </si>
  <si>
    <t>Item 3 Name</t>
  </si>
  <si>
    <t>Item 3 Category</t>
  </si>
  <si>
    <t>Item 3 Qty</t>
  </si>
  <si>
    <t>Item 3 Price (₹)</t>
  </si>
  <si>
    <t>Order Total (₹)</t>
  </si>
  <si>
    <t>Payment</t>
  </si>
  <si>
    <t>Returned?</t>
  </si>
  <si>
    <t>ORD001</t>
  </si>
  <si>
    <t>01-03-2026</t>
  </si>
  <si>
    <t>-</t>
  </si>
  <si>
    <t>UPI</t>
  </si>
  <si>
    <t>No</t>
  </si>
  <si>
    <t>ORD002</t>
  </si>
  <si>
    <t>02-03-2026</t>
  </si>
  <si>
    <t>ORD003</t>
  </si>
  <si>
    <t>04-03-2026</t>
  </si>
  <si>
    <t>Card</t>
  </si>
  <si>
    <t>ORD004</t>
  </si>
  <si>
    <t>05-03-2026</t>
  </si>
  <si>
    <t>ORD005</t>
  </si>
  <si>
    <t>06-03-2026</t>
  </si>
  <si>
    <t>ORD006</t>
  </si>
  <si>
    <t>07-03-2026</t>
  </si>
  <si>
    <t>ORD007</t>
  </si>
  <si>
    <t>09-03-2026</t>
  </si>
  <si>
    <t>ORD008</t>
  </si>
  <si>
    <t>11-03-2026</t>
  </si>
  <si>
    <t>ORD009</t>
  </si>
  <si>
    <t>13-03-2026</t>
  </si>
  <si>
    <t>Yes</t>
  </si>
  <si>
    <t>ORD010</t>
  </si>
  <si>
    <t>15-03-2026</t>
  </si>
  <si>
    <t>ORD011</t>
  </si>
  <si>
    <t>16-03-2026</t>
  </si>
  <si>
    <t>ORD012</t>
  </si>
  <si>
    <t>17-03-2026</t>
  </si>
  <si>
    <t>ORD013</t>
  </si>
  <si>
    <t>18-03-2026</t>
  </si>
  <si>
    <t>Cash</t>
  </si>
  <si>
    <t>ORD014</t>
  </si>
  <si>
    <t>20-03-2026</t>
  </si>
  <si>
    <t>ORD015</t>
  </si>
  <si>
    <t>21-03-2026</t>
  </si>
  <si>
    <t>ORD016</t>
  </si>
  <si>
    <t>22-03-2026</t>
  </si>
  <si>
    <t>ORD017</t>
  </si>
  <si>
    <t>23-03-2026</t>
  </si>
  <si>
    <t>ORD018</t>
  </si>
  <si>
    <t>24-03-2026</t>
  </si>
  <si>
    <t>ORD019</t>
  </si>
  <si>
    <t>26-03-2026</t>
  </si>
  <si>
    <t>ORD020</t>
  </si>
  <si>
    <t>27-03-2026</t>
  </si>
  <si>
    <t>ORD021</t>
  </si>
  <si>
    <t>29-03-2026</t>
  </si>
  <si>
    <t>ORD022</t>
  </si>
  <si>
    <t>30-03-2026</t>
  </si>
  <si>
    <t>ORD023</t>
  </si>
  <si>
    <t>31-03-2026</t>
  </si>
  <si>
    <t>ORD024</t>
  </si>
  <si>
    <t>01-04-2026</t>
  </si>
  <si>
    <t>ORD025</t>
  </si>
  <si>
    <t>02-04-2026</t>
  </si>
  <si>
    <t>ORD026</t>
  </si>
  <si>
    <t>03-04-2026</t>
  </si>
  <si>
    <t>ORD027</t>
  </si>
  <si>
    <t>04-04-2026</t>
  </si>
  <si>
    <t>ORD028</t>
  </si>
  <si>
    <t>05-04-2026</t>
  </si>
  <si>
    <t>ORD029</t>
  </si>
  <si>
    <t>06-04-2026</t>
  </si>
  <si>
    <t>ORD030</t>
  </si>
  <si>
    <t>07-04-2026</t>
  </si>
  <si>
    <t>ORD031</t>
  </si>
  <si>
    <t>08-04-2026</t>
  </si>
  <si>
    <t>ORD032</t>
  </si>
  <si>
    <t>09-04-2026</t>
  </si>
  <si>
    <t>ORD033</t>
  </si>
  <si>
    <t>10-04-2026</t>
  </si>
  <si>
    <t>ORD034</t>
  </si>
  <si>
    <t>11-04-2026</t>
  </si>
  <si>
    <t>ORD035</t>
  </si>
  <si>
    <t>12-04-2026</t>
  </si>
  <si>
    <t>ORD036</t>
  </si>
  <si>
    <t>13-04-2026</t>
  </si>
  <si>
    <t>ORD037</t>
  </si>
  <si>
    <t>14-04-2026</t>
  </si>
  <si>
    <t>ORD038</t>
  </si>
  <si>
    <t>15-04-2026</t>
  </si>
  <si>
    <t>ORD039</t>
  </si>
  <si>
    <t>16-04-2026</t>
  </si>
  <si>
    <t>ORD040</t>
  </si>
  <si>
    <t>17-04-2026</t>
  </si>
  <si>
    <t>ORD041</t>
  </si>
  <si>
    <t>18-04-2026</t>
  </si>
  <si>
    <t>ORD042</t>
  </si>
  <si>
    <t>19-04-2026</t>
  </si>
  <si>
    <t>ORD043</t>
  </si>
  <si>
    <t>20-04-2026</t>
  </si>
  <si>
    <t>ORD044</t>
  </si>
  <si>
    <t>21-04-2026</t>
  </si>
  <si>
    <t>ORD045</t>
  </si>
  <si>
    <t>22-04-2026</t>
  </si>
  <si>
    <t>ORD046</t>
  </si>
  <si>
    <t>23-04-2026</t>
  </si>
  <si>
    <t>ORD047</t>
  </si>
  <si>
    <t>24-04-2026</t>
  </si>
  <si>
    <t>ORD048</t>
  </si>
  <si>
    <t>25-04-2026</t>
  </si>
  <si>
    <t>ORD049</t>
  </si>
  <si>
    <t>ORD050</t>
  </si>
  <si>
    <t>26-04-2026</t>
  </si>
  <si>
    <t>ORD051</t>
  </si>
  <si>
    <t>ORD052</t>
  </si>
  <si>
    <t>27-04-2026</t>
  </si>
  <si>
    <t>ORD053</t>
  </si>
  <si>
    <t>ORD054</t>
  </si>
  <si>
    <t>28-04-2026</t>
  </si>
  <si>
    <t>ORD055</t>
  </si>
  <si>
    <t>29-04-2026</t>
  </si>
  <si>
    <t>ORD056</t>
  </si>
  <si>
    <t>30-04-2026</t>
  </si>
  <si>
    <t>ORD057</t>
  </si>
  <si>
    <t>01-05-2026</t>
  </si>
  <si>
    <t>ORD058</t>
  </si>
  <si>
    <t>ORD059</t>
  </si>
  <si>
    <t>02-05-2026</t>
  </si>
  <si>
    <t>ORD060</t>
  </si>
  <si>
    <t>03-05-2026</t>
  </si>
  <si>
    <t>ORD061</t>
  </si>
  <si>
    <t>04-05-2026</t>
  </si>
  <si>
    <t>ORD062</t>
  </si>
  <si>
    <t>ORD063</t>
  </si>
  <si>
    <t>05-05-2026</t>
  </si>
  <si>
    <t>ORD064</t>
  </si>
  <si>
    <t>06-05-2026</t>
  </si>
  <si>
    <t>ORD065</t>
  </si>
  <si>
    <t>07-05-2026</t>
  </si>
  <si>
    <t>ORD066</t>
  </si>
  <si>
    <t>ORD067</t>
  </si>
  <si>
    <t>08-05-2026</t>
  </si>
  <si>
    <t>ORD068</t>
  </si>
  <si>
    <t>09-05-2026</t>
  </si>
  <si>
    <t>ORD069</t>
  </si>
  <si>
    <t>ORD070</t>
  </si>
  <si>
    <t>10-05-2026</t>
  </si>
  <si>
    <t>ORD071</t>
  </si>
  <si>
    <t>ORD072</t>
  </si>
  <si>
    <t>11-05-2026</t>
  </si>
  <si>
    <t>ORD073</t>
  </si>
  <si>
    <t>ORD074</t>
  </si>
  <si>
    <t>12-05-2026</t>
  </si>
  <si>
    <t>ORD075</t>
  </si>
  <si>
    <t>ORD076</t>
  </si>
  <si>
    <t>13-05-2026</t>
  </si>
  <si>
    <t>ORD077</t>
  </si>
  <si>
    <t>ORD078</t>
  </si>
  <si>
    <t>14-05-2026</t>
  </si>
  <si>
    <t>ORD079</t>
  </si>
  <si>
    <t>ORD080</t>
  </si>
  <si>
    <t>15-05-2026</t>
  </si>
  <si>
    <t>ORD081</t>
  </si>
  <si>
    <t>ORD082</t>
  </si>
  <si>
    <t>16-05-2026</t>
  </si>
  <si>
    <t>ORD083</t>
  </si>
  <si>
    <t>ORD084</t>
  </si>
  <si>
    <t>17-05-2026</t>
  </si>
  <si>
    <t>ORD085</t>
  </si>
  <si>
    <t>ORD086</t>
  </si>
  <si>
    <t>18-05-2026</t>
  </si>
  <si>
    <t>ORD087</t>
  </si>
  <si>
    <t>ORD088</t>
  </si>
  <si>
    <t>19-05-2026</t>
  </si>
  <si>
    <t>ORD089</t>
  </si>
  <si>
    <t>ORD090</t>
  </si>
  <si>
    <t>20-05-2026</t>
  </si>
  <si>
    <t>ORD091</t>
  </si>
  <si>
    <t>ORD092</t>
  </si>
  <si>
    <t>21-05-2026</t>
  </si>
  <si>
    <t>ORD093</t>
  </si>
  <si>
    <t>22-05-2026</t>
  </si>
  <si>
    <t>ORD094</t>
  </si>
  <si>
    <t>23-05-2026</t>
  </si>
  <si>
    <t>ORD095</t>
  </si>
  <si>
    <t>24-05-2026</t>
  </si>
  <si>
    <t>ORD096</t>
  </si>
  <si>
    <t>25-05-2026</t>
  </si>
  <si>
    <t>ORD097</t>
  </si>
  <si>
    <t>26-05-2026</t>
  </si>
  <si>
    <t>Silver-Plated Anti-Tarnish Anxiety Spinning Ring Inlaid With Cubic Zirconia Stones</t>
  </si>
  <si>
    <t>ORD098</t>
  </si>
  <si>
    <t>27-05-2026</t>
  </si>
  <si>
    <t>ORD099</t>
  </si>
  <si>
    <t>28-05-2026</t>
  </si>
  <si>
    <t>ORD100</t>
  </si>
  <si>
    <t>29-05-2026</t>
  </si>
  <si>
    <t>Qty</t>
  </si>
  <si>
    <t>Line Total (₹)</t>
  </si>
  <si>
    <t>Month</t>
  </si>
  <si>
    <t>Total Qty</t>
  </si>
  <si>
    <t>Order Frequency Stats</t>
  </si>
  <si>
    <t>COUNT Mar Orders</t>
  </si>
  <si>
    <t>COUNT Apr Orders</t>
  </si>
  <si>
    <t>Grand Total</t>
  </si>
  <si>
    <t>COUNT May Orders</t>
  </si>
  <si>
    <t>COUNT Total Line Items</t>
  </si>
  <si>
    <t>Row Labels</t>
  </si>
  <si>
    <t>AVG Line Total (₹)</t>
  </si>
  <si>
    <t>Mar</t>
  </si>
  <si>
    <t>MAX Line Total (₹)</t>
  </si>
  <si>
    <t>Apr</t>
  </si>
  <si>
    <t>MIN Line Total (₹)</t>
  </si>
  <si>
    <t>May</t>
  </si>
  <si>
    <t>Total Sales</t>
  </si>
  <si>
    <t>Sum of Qty</t>
  </si>
  <si>
    <t>Distinct Count of Order No.</t>
  </si>
  <si>
    <t>Hold ID</t>
  </si>
  <si>
    <t>Linked Order No.</t>
  </si>
  <si>
    <t>Hold Start Date</t>
  </si>
  <si>
    <t>Hold Duration (hrs)</t>
  </si>
  <si>
    <t>Value Held (₹)</t>
  </si>
  <si>
    <t>Bargained?</t>
  </si>
  <si>
    <t>Discount Requested (%)</t>
  </si>
  <si>
    <t>Outcome</t>
  </si>
  <si>
    <t>H001</t>
  </si>
  <si>
    <t>04-03-2026 11:48</t>
  </si>
  <si>
    <t>Converted (Paid)</t>
  </si>
  <si>
    <t>H002</t>
  </si>
  <si>
    <t>04-03-2026 23:48</t>
  </si>
  <si>
    <t>H003</t>
  </si>
  <si>
    <t>Not Converted</t>
  </si>
  <si>
    <t>16-03-2026 00:00</t>
  </si>
  <si>
    <t>Lost (No Payment / Ghosted)</t>
  </si>
  <si>
    <t>H004</t>
  </si>
  <si>
    <t>16-03-2026 21:06</t>
  </si>
  <si>
    <t>H005</t>
  </si>
  <si>
    <t>19-03-2026 19:00</t>
  </si>
  <si>
    <t>H006</t>
  </si>
  <si>
    <t>20-03-2026 18:24</t>
  </si>
  <si>
    <t>H007</t>
  </si>
  <si>
    <t>22-03-2026 00:00</t>
  </si>
  <si>
    <t>H008</t>
  </si>
  <si>
    <t>22-03-2026 13:42</t>
  </si>
  <si>
    <t>H009</t>
  </si>
  <si>
    <t>02-04-2026 19:30</t>
  </si>
  <si>
    <t>H010</t>
  </si>
  <si>
    <t>03-04-2026 00:30</t>
  </si>
  <si>
    <t>H011</t>
  </si>
  <si>
    <t>04-04-2026 22:18</t>
  </si>
  <si>
    <t>H012</t>
  </si>
  <si>
    <t>06-04-2026 21:12</t>
  </si>
  <si>
    <t>H013</t>
  </si>
  <si>
    <t>08-04-2026 22:06</t>
  </si>
  <si>
    <t>H014</t>
  </si>
  <si>
    <t>12-04-2026 21:42</t>
  </si>
  <si>
    <t>H015</t>
  </si>
  <si>
    <t>17-04-2026 00:00</t>
  </si>
  <si>
    <t>H016</t>
  </si>
  <si>
    <t>27-04-2026 04:06</t>
  </si>
  <si>
    <t>H017</t>
  </si>
  <si>
    <t>28-04-2026 00:00</t>
  </si>
  <si>
    <t>H018</t>
  </si>
  <si>
    <t>28-04-2026 22:48</t>
  </si>
  <si>
    <t>H019</t>
  </si>
  <si>
    <t>30-04-2026 18:24</t>
  </si>
  <si>
    <t>H020</t>
  </si>
  <si>
    <t>02-05-2026 00:00</t>
  </si>
  <si>
    <t>H021</t>
  </si>
  <si>
    <t>06-05-2026 20:30</t>
  </si>
  <si>
    <t>H022</t>
  </si>
  <si>
    <t>09-05-2026 06:54</t>
  </si>
  <si>
    <t>H023</t>
  </si>
  <si>
    <t>10-05-2026 19:18</t>
  </si>
  <si>
    <t>H024</t>
  </si>
  <si>
    <t>12-05-2026 21:54</t>
  </si>
  <si>
    <t>H025</t>
  </si>
  <si>
    <t>13-05-2026 22:30</t>
  </si>
  <si>
    <t>H026</t>
  </si>
  <si>
    <t>15-05-2026 22:12</t>
  </si>
  <si>
    <t>H027</t>
  </si>
  <si>
    <t>16-05-2026 00:00</t>
  </si>
  <si>
    <t>H028</t>
  </si>
  <si>
    <t>16-05-2026 21:06</t>
  </si>
  <si>
    <t>H029</t>
  </si>
  <si>
    <t>17-05-2026 18:06</t>
  </si>
  <si>
    <t>H030</t>
  </si>
  <si>
    <t>18-05-2026 08:18</t>
  </si>
  <si>
    <t>H031</t>
  </si>
  <si>
    <t>18-05-2026 19:24</t>
  </si>
  <si>
    <t>H032</t>
  </si>
  <si>
    <t>22-05-2026 20:42</t>
  </si>
  <si>
    <t>H033</t>
  </si>
  <si>
    <t>23-05-2026 02:30</t>
  </si>
  <si>
    <t>H034</t>
  </si>
  <si>
    <t>24-05-2026 00:00</t>
  </si>
  <si>
    <t>H035</t>
  </si>
  <si>
    <t>24-05-2026 22:30</t>
  </si>
  <si>
    <t>H036</t>
  </si>
  <si>
    <t>26-05-2026 22:12</t>
  </si>
  <si>
    <t>Hold Tracker – Summary Statistics</t>
  </si>
  <si>
    <t>Total Hold Incidents (Mar-May 2026)</t>
  </si>
  <si>
    <t>Converted (Paid after Hold)</t>
  </si>
  <si>
    <t>Lost / Ghosted (No Payment)</t>
  </si>
  <si>
    <t>Ghost Rate (%)</t>
  </si>
  <si>
    <t>Total Value Held (₹)</t>
  </si>
  <si>
    <t>Total Value Lost to Ghosting (₹)</t>
  </si>
  <si>
    <t>Avg Hold Duration – Converted (hrs)</t>
  </si>
  <si>
    <t>Avg Hold Duration – Ghosted (hrs)</t>
  </si>
  <si>
    <t>Orders Involving Bargaining (%)</t>
  </si>
  <si>
    <t>Avg Discount Requested when Bargained (%)</t>
  </si>
  <si>
    <t>Hold Duration Statistics</t>
  </si>
  <si>
    <t>Mean</t>
  </si>
  <si>
    <t>Converted</t>
  </si>
  <si>
    <t>Ghosted</t>
  </si>
  <si>
    <t>Median</t>
  </si>
  <si>
    <t>Standard Deviation</t>
  </si>
  <si>
    <t>Minimum</t>
  </si>
  <si>
    <t>Maximum</t>
  </si>
  <si>
    <t>Range</t>
  </si>
  <si>
    <t>Coefficient of Variation</t>
  </si>
  <si>
    <t>Value Held Analysis</t>
  </si>
  <si>
    <t>Total Value Held</t>
  </si>
  <si>
    <t>Average Value Held</t>
  </si>
  <si>
    <t>Ghost Rate / Conversion Rate</t>
  </si>
  <si>
    <t>Total Holds</t>
  </si>
  <si>
    <t>Ghost Rate</t>
  </si>
  <si>
    <t>Conversion Rate</t>
  </si>
  <si>
    <t>Revenue Lost</t>
  </si>
  <si>
    <t>Total Revenue Lost</t>
  </si>
  <si>
    <t>Stock-hours Blocked</t>
  </si>
  <si>
    <t>Converted stock-hours</t>
  </si>
  <si>
    <t>Ghosted stock-hours</t>
  </si>
  <si>
    <t>Bargaining Impact</t>
  </si>
  <si>
    <t>Bargain Rate</t>
  </si>
  <si>
    <t>Average Discount</t>
  </si>
  <si>
    <t>Value of Bargained Converted Orders</t>
  </si>
  <si>
    <t>Estimated Revenue Reduction</t>
  </si>
  <si>
    <t>Policy Simulation</t>
  </si>
  <si>
    <t>Ghosted orders exceeding 24 hours</t>
  </si>
  <si>
    <t>Value released under 24-hour rule</t>
  </si>
  <si>
    <t>Ghosted orders exceeding 48 hours</t>
  </si>
  <si>
    <t>Value released under 48-hour rule</t>
  </si>
  <si>
    <t>Bucket</t>
  </si>
  <si>
    <t>0–6 hrs</t>
  </si>
  <si>
    <t>6–24 hrs</t>
  </si>
  <si>
    <t>24–48 hrs</t>
  </si>
  <si>
    <t>48+ hrs</t>
  </si>
  <si>
    <t>Value</t>
  </si>
  <si>
    <t>Count</t>
  </si>
  <si>
    <t>Metric</t>
  </si>
  <si>
    <t>Amount</t>
  </si>
  <si>
    <t>Bargained Converted Orders</t>
  </si>
  <si>
    <t>Policy</t>
  </si>
  <si>
    <t>Orders</t>
  </si>
  <si>
    <t>Ghosted &gt;24 hrs</t>
  </si>
  <si>
    <t>Ghosted &gt;48 hrs</t>
  </si>
  <si>
    <t>Value Released</t>
  </si>
  <si>
    <t>24-hour Rule</t>
  </si>
  <si>
    <t>48-hour Rule</t>
  </si>
  <si>
    <t>Stock-hours</t>
  </si>
  <si>
    <t>Std</t>
  </si>
  <si>
    <t>Bargain Rate %</t>
  </si>
  <si>
    <t>Sales Velocity</t>
  </si>
  <si>
    <t>Column Labels</t>
  </si>
  <si>
    <t>Sum of Line Total (₹)</t>
  </si>
  <si>
    <t>Apr Growth%</t>
  </si>
  <si>
    <t>May Growth%</t>
  </si>
  <si>
    <t>CV%</t>
  </si>
  <si>
    <t>Ghost Rate %</t>
  </si>
  <si>
    <t>—</t>
  </si>
  <si>
    <t>03-03-2026 06:18</t>
  </si>
  <si>
    <t>Not Recorded</t>
  </si>
  <si>
    <t>21-03-2026 03:00</t>
  </si>
  <si>
    <t>26-03-2026 00:12</t>
  </si>
  <si>
    <t>28-03-2026 11:54</t>
  </si>
  <si>
    <t>29-03-2026 11:54</t>
  </si>
  <si>
    <t>05-04-2026 16:42</t>
  </si>
  <si>
    <t>08-04-2026 01:30</t>
  </si>
  <si>
    <t>09-04-2026 14:30</t>
  </si>
  <si>
    <t>20-04-2026 14:48</t>
  </si>
  <si>
    <t>24-04-2026 07:12</t>
  </si>
  <si>
    <t>29-04-2026 20:42</t>
  </si>
  <si>
    <t>04-05-2026 11:24</t>
  </si>
  <si>
    <t>07-05-2026 03:06</t>
  </si>
  <si>
    <t>09-05-2026 21:42</t>
  </si>
  <si>
    <t>10-05-2026 13:12</t>
  </si>
  <si>
    <t>18-05-2026 07:54</t>
  </si>
  <si>
    <t>23-05-2026 09:36</t>
  </si>
  <si>
    <t>25-05-2026 04:12</t>
  </si>
  <si>
    <t>27-05-2026 20:48</t>
  </si>
  <si>
    <t>Ageing_Risk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</si>
</sst>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₹#,##0"/>
  </numFmts>
  <fonts count="2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Arial"/>
      <charset val="1"/>
    </font>
    <font>
      <b/>
      <sz val="10"/>
      <color rgb="FF1C1C1C"/>
      <name val="Arial"/>
      <charset val="1"/>
    </font>
    <font>
      <sz val="10"/>
      <color rgb="FF1C1C1C"/>
      <name val="Arial"/>
      <charset val="1"/>
    </font>
    <font>
      <b/>
      <sz val="11"/>
      <color rgb="FFFFFFFF"/>
      <name val="Arial"/>
      <family val="2"/>
    </font>
    <font>
      <sz val="10"/>
      <color rgb="FF1C1C1C"/>
      <name val="Arial"/>
      <family val="2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color rgb="FFFFFFFF"/>
      <name val="Calibri"/>
    </font>
    <font>
      <b/>
      <sz val="12"/>
      <name val="Calibri"/>
    </font>
    <font>
      <b/>
      <sz val="11"/>
      <name val="Calibri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Arial"/>
      <family val="2"/>
    </font>
    <font>
      <sz val="11"/>
      <name val="Calibri"/>
      <family val="2"/>
      <scheme val="minor"/>
    </font>
    <font>
      <u/>
      <sz val="11"/>
      <color theme="1"/>
      <name val="Calibri"/>
      <family val="2"/>
      <charset val="1"/>
    </font>
    <font>
      <sz val="10"/>
      <color theme="1"/>
      <name val="Arial Unicode MS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C9A84C"/>
        <bgColor rgb="FFD4B85A"/>
      </patternFill>
    </fill>
    <fill>
      <patternFill patternType="solid">
        <fgColor rgb="FFFFF8E7"/>
        <bgColor rgb="FFFFFFFF"/>
      </patternFill>
    </fill>
    <fill>
      <patternFill patternType="solid">
        <fgColor rgb="FFFFFFFF"/>
        <bgColor rgb="FFFFF8E7"/>
      </patternFill>
    </fill>
    <fill>
      <patternFill patternType="solid">
        <fgColor theme="0"/>
        <bgColor rgb="FFFFFFFF"/>
      </patternFill>
    </fill>
    <fill>
      <patternFill patternType="solid">
        <fgColor rgb="FF4472C4"/>
        <bgColor rgb="FF4C7DB7"/>
      </patternFill>
    </fill>
    <fill>
      <patternFill patternType="solid">
        <fgColor rgb="FF4472C4"/>
        <bgColor rgb="FF4472C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8E7"/>
        <bgColor indexed="64"/>
      </patternFill>
    </fill>
    <fill>
      <patternFill patternType="solid">
        <fgColor rgb="FFFFF2CC"/>
        <bgColor rgb="FFFFF8E7"/>
      </patternFill>
    </fill>
    <fill>
      <patternFill patternType="solid">
        <fgColor rgb="FFC9A84C"/>
        <bgColor indexed="64"/>
      </patternFill>
    </fill>
  </fills>
  <borders count="18">
    <border>
      <left/>
      <right/>
      <top/>
      <bottom/>
      <diagonal/>
    </border>
    <border>
      <left style="thin">
        <color rgb="FFD4B85A"/>
      </left>
      <right style="thin">
        <color rgb="FFD4B85A"/>
      </right>
      <top style="thin">
        <color rgb="FFD4B85A"/>
      </top>
      <bottom style="thin">
        <color rgb="FFD4B85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rgb="FFD4B85A"/>
      </left>
      <right style="medium">
        <color rgb="FFD4B85A"/>
      </right>
      <top style="medium">
        <color rgb="FFD4B85A"/>
      </top>
      <bottom style="medium">
        <color rgb="FFD4B85A"/>
      </bottom>
      <diagonal/>
    </border>
    <border>
      <left style="medium">
        <color rgb="FFD4B85A"/>
      </left>
      <right style="medium">
        <color rgb="FFD4B85A"/>
      </right>
      <top/>
      <bottom/>
      <diagonal/>
    </border>
  </borders>
  <cellStyleXfs count="4">
    <xf numFmtId="0" fontId="0" fillId="0" borderId="0"/>
    <xf numFmtId="9" fontId="13" fillId="0" borderId="0" applyFont="0" applyFill="0" applyBorder="0" applyAlignment="0" applyProtection="0"/>
    <xf numFmtId="0" fontId="2" fillId="0" borderId="0"/>
    <xf numFmtId="0" fontId="1" fillId="0" borderId="0"/>
  </cellStyleXfs>
  <cellXfs count="6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164" fontId="5" fillId="3" borderId="1" xfId="0" applyNumberFormat="1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164" fontId="5" fillId="4" borderId="1" xfId="0" applyNumberFormat="1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4" fontId="5" fillId="5" borderId="1" xfId="0" applyNumberFormat="1" applyFont="1" applyFill="1" applyBorder="1" applyAlignment="1">
      <alignment horizontal="left" vertical="center" wrapText="1"/>
    </xf>
    <xf numFmtId="0" fontId="8" fillId="6" borderId="2" xfId="0" applyFont="1" applyFill="1" applyBorder="1" applyAlignment="1">
      <alignment horizontal="left"/>
    </xf>
    <xf numFmtId="0" fontId="9" fillId="0" borderId="2" xfId="0" applyFont="1" applyBorder="1" applyAlignment="1">
      <alignment horizontal="right"/>
    </xf>
    <xf numFmtId="0" fontId="9" fillId="0" borderId="2" xfId="0" applyFont="1" applyBorder="1" applyAlignment="1">
      <alignment horizontal="left"/>
    </xf>
    <xf numFmtId="4" fontId="9" fillId="0" borderId="2" xfId="0" applyNumberFormat="1" applyFont="1" applyBorder="1" applyAlignment="1">
      <alignment horizontal="right"/>
    </xf>
    <xf numFmtId="0" fontId="10" fillId="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1" fillId="0" borderId="0" xfId="0" applyFont="1"/>
    <xf numFmtId="0" fontId="12" fillId="0" borderId="0" xfId="0" applyFont="1"/>
    <xf numFmtId="0" fontId="0" fillId="0" borderId="4" xfId="0" applyBorder="1" applyAlignment="1">
      <alignment horizontal="center"/>
    </xf>
    <xf numFmtId="0" fontId="0" fillId="0" borderId="0" xfId="0" applyAlignment="1">
      <alignment vertical="center"/>
    </xf>
    <xf numFmtId="9" fontId="0" fillId="0" borderId="0" xfId="1" applyFont="1"/>
    <xf numFmtId="0" fontId="0" fillId="0" borderId="4" xfId="0" applyBorder="1" applyAlignment="1">
      <alignment horizontal="left"/>
    </xf>
    <xf numFmtId="0" fontId="14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4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12" fillId="0" borderId="5" xfId="2" applyFont="1" applyBorder="1" applyAlignment="1">
      <alignment horizontal="center" vertical="top"/>
    </xf>
    <xf numFmtId="0" fontId="1" fillId="0" borderId="0" xfId="3"/>
    <xf numFmtId="0" fontId="12" fillId="0" borderId="5" xfId="3" applyFont="1" applyBorder="1" applyAlignment="1">
      <alignment horizontal="center" vertical="top"/>
    </xf>
    <xf numFmtId="0" fontId="15" fillId="0" borderId="0" xfId="0" applyFont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0" xfId="0" applyAlignment="1">
      <alignment horizontal="left" vertical="center" wrapText="1"/>
    </xf>
    <xf numFmtId="0" fontId="7" fillId="4" borderId="0" xfId="0" applyFont="1" applyFill="1" applyAlignment="1">
      <alignment horizontal="left" vertical="center" wrapText="1"/>
    </xf>
    <xf numFmtId="0" fontId="14" fillId="8" borderId="15" xfId="0" applyFont="1" applyFill="1" applyBorder="1"/>
    <xf numFmtId="2" fontId="16" fillId="0" borderId="0" xfId="0" applyNumberFormat="1" applyFont="1"/>
    <xf numFmtId="2" fontId="0" fillId="0" borderId="0" xfId="0" applyNumberFormat="1" applyAlignment="1">
      <alignment horizontal="left" vertical="center" wrapText="1"/>
    </xf>
    <xf numFmtId="2" fontId="0" fillId="0" borderId="0" xfId="0" applyNumberFormat="1" applyAlignment="1">
      <alignment horizontal="right" vertical="center" wrapText="1"/>
    </xf>
    <xf numFmtId="2" fontId="0" fillId="0" borderId="0" xfId="0" applyNumberFormat="1"/>
    <xf numFmtId="2" fontId="17" fillId="0" borderId="0" xfId="0" applyNumberFormat="1" applyFont="1" applyAlignment="1">
      <alignment horizontal="left" vertical="center" wrapText="1"/>
    </xf>
    <xf numFmtId="0" fontId="0" fillId="9" borderId="0" xfId="0" applyFill="1" applyAlignment="1">
      <alignment vertical="center" wrapText="1"/>
    </xf>
    <xf numFmtId="0" fontId="0" fillId="9" borderId="0" xfId="0" applyFill="1" applyAlignment="1">
      <alignment horizontal="left" vertical="center" wrapText="1"/>
    </xf>
    <xf numFmtId="2" fontId="0" fillId="9" borderId="0" xfId="0" applyNumberFormat="1" applyFill="1" applyAlignment="1">
      <alignment horizontal="left" vertical="center" wrapText="1"/>
    </xf>
    <xf numFmtId="0" fontId="18" fillId="0" borderId="0" xfId="0" applyFont="1"/>
    <xf numFmtId="0" fontId="0" fillId="0" borderId="3" xfId="1" applyNumberFormat="1" applyFont="1" applyBorder="1" applyAlignment="1">
      <alignment horizontal="center"/>
    </xf>
    <xf numFmtId="2" fontId="0" fillId="0" borderId="0" xfId="1" applyNumberFormat="1" applyFont="1"/>
    <xf numFmtId="9" fontId="0" fillId="0" borderId="0" xfId="1" applyFont="1" applyAlignment="1">
      <alignment horizontal="right" vertical="center" wrapText="1"/>
    </xf>
    <xf numFmtId="0" fontId="0" fillId="0" borderId="0" xfId="0" applyAlignment="1">
      <alignment vertical="top" wrapText="1"/>
    </xf>
    <xf numFmtId="0" fontId="0" fillId="0" borderId="0" xfId="0"/>
    <xf numFmtId="0" fontId="19" fillId="6" borderId="0" xfId="0" applyFont="1" applyFill="1" applyAlignment="1">
      <alignment horizontal="center"/>
    </xf>
    <xf numFmtId="0" fontId="16" fillId="11" borderId="0" xfId="0" applyFont="1" applyFill="1"/>
    <xf numFmtId="0" fontId="16" fillId="0" borderId="0" xfId="0" applyFont="1"/>
    <xf numFmtId="0" fontId="6" fillId="12" borderId="16" xfId="0" applyFont="1" applyFill="1" applyBorder="1" applyAlignment="1">
      <alignment horizontal="center" vertical="center" wrapText="1"/>
    </xf>
    <xf numFmtId="0" fontId="15" fillId="10" borderId="17" xfId="0" applyFont="1" applyFill="1" applyBorder="1" applyAlignment="1">
      <alignment wrapText="1"/>
    </xf>
    <xf numFmtId="0" fontId="20" fillId="0" borderId="0" xfId="0" applyFont="1" applyAlignment="1">
      <alignment wrapText="1"/>
    </xf>
  </cellXfs>
  <cellStyles count="4">
    <cellStyle name="Normal" xfId="0" builtinId="0"/>
    <cellStyle name="Normal 2" xfId="2" xr:uid="{D2621107-4D10-4B06-BFE2-3AF31BBD377A}"/>
    <cellStyle name="Normal 3" xfId="3" xr:uid="{AFD01272-475A-4CFE-8212-479B413D0148}"/>
    <cellStyle name="Percent" xfId="1" builtinId="5"/>
  </cellStyles>
  <dxfs count="8"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8E7"/>
        </patternFill>
      </fill>
    </dxf>
    <dxf>
      <fill>
        <patternFill>
          <bgColor rgb="FFFFF8E7"/>
        </patternFill>
      </fill>
    </dxf>
    <dxf>
      <fill>
        <patternFill>
          <bgColor theme="0"/>
        </patternFill>
      </fill>
    </dxf>
    <dxf>
      <fill>
        <patternFill>
          <bgColor rgb="FFFFF8E7"/>
        </patternFill>
      </fill>
    </dxf>
    <dxf>
      <fill>
        <patternFill>
          <bgColor theme="0"/>
        </patternFill>
      </fill>
    </dxf>
    <dxf>
      <fill>
        <patternFill>
          <bgColor rgb="FFFFF8E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D4B85A"/>
      <rgbColor rgb="FF3366FF"/>
      <rgbColor rgb="FF33CCCC"/>
      <rgbColor rgb="FF99CC00"/>
      <rgbColor rgb="FFFFCC00"/>
      <rgbColor rgb="FFFF9900"/>
      <rgbColor rgb="FFFF6600"/>
      <rgbColor rgb="FF666699"/>
      <rgbColor rgb="FFC9A84C"/>
      <rgbColor rgb="FF003366"/>
      <rgbColor rgb="FF339966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CE9C2"/>
      <color rgb="FF876853"/>
      <color rgb="FF67513D"/>
      <color rgb="FFCFC3B5"/>
      <color rgb="FF553825"/>
      <color rgb="FFA59789"/>
      <color rgb="FF937A63"/>
      <color rgb="FFA18E7B"/>
      <color rgb="FF5D4D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ivotCacheDefinition" Target="pivotCache/pivotCacheDefinition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[Jewelry_Orders.xlsx]Daily Sales!PivotTable3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per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'Daily Sales'!$L$1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'Daily Sales'!$K$2:$K$6</c:f>
              <c:strCache>
                <c:ptCount val="4"/>
                <c:pt idx="0">
                  <c:v>Bracelets</c:v>
                </c:pt>
                <c:pt idx="1">
                  <c:v>Earrings</c:v>
                </c:pt>
                <c:pt idx="2">
                  <c:v>Neckpieces</c:v>
                </c:pt>
                <c:pt idx="3">
                  <c:v>Rings</c:v>
                </c:pt>
              </c:strCache>
            </c:strRef>
          </c:cat>
          <c:val>
            <c:numRef>
              <c:f>'Daily Sales'!$L$2:$L$6</c:f>
              <c:numCache>
                <c:formatCode>General</c:formatCode>
                <c:ptCount val="4"/>
                <c:pt idx="0">
                  <c:v>68</c:v>
                </c:pt>
                <c:pt idx="1">
                  <c:v>102</c:v>
                </c:pt>
                <c:pt idx="2">
                  <c:v>20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C4-4CE1-9726-5FCBAFE045E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21502896"/>
        <c:axId val="1521503856"/>
      </c:barChart>
      <c:catAx>
        <c:axId val="1521502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1503856"/>
        <c:crosses val="autoZero"/>
        <c:auto val="1"/>
        <c:lblAlgn val="ctr"/>
        <c:lblOffset val="100"/>
        <c:noMultiLvlLbl val="0"/>
      </c:catAx>
      <c:valAx>
        <c:axId val="152150385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2150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pivotSource>
    <c:name>[Jewelry_Orders.xlsx]Daily Sales!PivotTable5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Category Revenue Share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pattFill prst="pct75">
              <a:fgClr>
                <a:srgbClr val="000000"/>
              </a:fgClr>
              <a:bgClr>
                <a:srgbClr val="000000"/>
              </a:bgClr>
            </a:pattFill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</c:pivotFmt>
      <c:pivotFmt>
        <c:idx val="2"/>
        <c:spPr>
          <a:solidFill>
            <a:schemeClr val="accent2"/>
          </a:solidFill>
          <a:ln>
            <a:noFill/>
            <a:prstDash val="solid"/>
          </a:ln>
        </c:spPr>
      </c:pivotFmt>
      <c:pivotFmt>
        <c:idx val="3"/>
        <c:spPr>
          <a:solidFill>
            <a:schemeClr val="accent3"/>
          </a:solidFill>
          <a:ln>
            <a:noFill/>
            <a:prstDash val="solid"/>
          </a:ln>
        </c:spPr>
      </c:pivotFmt>
      <c:pivotFmt>
        <c:idx val="4"/>
        <c:spPr>
          <a:solidFill>
            <a:schemeClr val="accent4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tx>
            <c:strRef>
              <c:f>'Daily Sales'!$L$14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B61-4F10-BB30-C519F9C8DA5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B61-4F10-BB30-C519F9C8DA5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B61-4F10-BB30-C519F9C8DA5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B61-4F10-BB30-C519F9C8DA5A}"/>
              </c:ext>
            </c:extLst>
          </c:dPt>
          <c:dLbls>
            <c:spPr>
              <a:pattFill prst="pct75">
                <a:fgClr>
                  <a:srgbClr val="000000"/>
                </a:fgClr>
                <a:bgClr>
                  <a:srgbClr val="000000"/>
                </a:bgClr>
              </a:patt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'Daily Sales'!$K$15:$K$19</c:f>
              <c:strCache>
                <c:ptCount val="4"/>
                <c:pt idx="0">
                  <c:v>Bracelets</c:v>
                </c:pt>
                <c:pt idx="1">
                  <c:v>Earrings</c:v>
                </c:pt>
                <c:pt idx="2">
                  <c:v>Neckpieces</c:v>
                </c:pt>
                <c:pt idx="3">
                  <c:v>Rings</c:v>
                </c:pt>
              </c:strCache>
            </c:strRef>
          </c:cat>
          <c:val>
            <c:numRef>
              <c:f>'Daily Sales'!$L$15:$L$19</c:f>
              <c:numCache>
                <c:formatCode>\₹#,##0</c:formatCode>
                <c:ptCount val="4"/>
                <c:pt idx="0">
                  <c:v>21850</c:v>
                </c:pt>
                <c:pt idx="1">
                  <c:v>20343</c:v>
                </c:pt>
                <c:pt idx="2">
                  <c:v>4214</c:v>
                </c:pt>
                <c:pt idx="3">
                  <c:v>7793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B61-4F10-BB30-C519F9C8DA5A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spPr>
        <a:solidFill>
          <a:schemeClr val="lt1">
            <a:alpha val="39000"/>
            <a:lumMod val="95000"/>
          </a:schemeClr>
        </a:solidFill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[Jewelry_Orders.xlsx]Daily Sales!PivotTable1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Revenue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2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3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'Daily Sales'!$L$8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Pt>
            <c:idx val="0"/>
            <c:marker>
              <c:symbol val="circle"/>
              <c:size val="17"/>
              <c:spPr>
                <a:solidFill>
                  <a:schemeClr val="accent1"/>
                </a:solidFill>
                <a:ln>
                  <a:noFill/>
                </a:ln>
                <a:effectLst/>
              </c:spPr>
            </c:marker>
            <c:bubble3D val="0"/>
            <c:spPr>
              <a:ln w="3175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76F-410D-8C43-9DA2A8AB4DC8}"/>
              </c:ext>
            </c:extLst>
          </c:dPt>
          <c:dPt>
            <c:idx val="1"/>
            <c:marker>
              <c:symbol val="circle"/>
              <c:size val="17"/>
              <c:spPr>
                <a:solidFill>
                  <a:schemeClr val="accent1"/>
                </a:solidFill>
                <a:ln>
                  <a:noFill/>
                </a:ln>
                <a:effectLst/>
              </c:spPr>
            </c:marker>
            <c:bubble3D val="0"/>
            <c:spPr>
              <a:ln w="3175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76F-410D-8C43-9DA2A8AB4DC8}"/>
              </c:ext>
            </c:extLst>
          </c:dPt>
          <c:dPt>
            <c:idx val="2"/>
            <c:marker>
              <c:symbol val="circle"/>
              <c:size val="17"/>
              <c:spPr>
                <a:solidFill>
                  <a:schemeClr val="accent1"/>
                </a:solidFill>
                <a:ln>
                  <a:noFill/>
                </a:ln>
                <a:effectLst/>
              </c:spPr>
            </c:marker>
            <c:bubble3D val="0"/>
            <c:spPr>
              <a:ln w="3175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E76F-410D-8C43-9DA2A8AB4DC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'Daily Sales'!$K$9:$K$12</c:f>
              <c:strCache>
                <c:ptCount val="3"/>
                <c:pt idx="0">
                  <c:v>Mar</c:v>
                </c:pt>
                <c:pt idx="1">
                  <c:v>Apr</c:v>
                </c:pt>
                <c:pt idx="2">
                  <c:v>May</c:v>
                </c:pt>
              </c:strCache>
            </c:strRef>
          </c:cat>
          <c:val>
            <c:numRef>
              <c:f>'Daily Sales'!$L$9:$L$12</c:f>
              <c:numCache>
                <c:formatCode>\₹#,##0</c:formatCode>
                <c:ptCount val="3"/>
                <c:pt idx="0">
                  <c:v>11106</c:v>
                </c:pt>
                <c:pt idx="1">
                  <c:v>16812</c:v>
                </c:pt>
                <c:pt idx="2">
                  <c:v>26282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76F-410D-8C43-9DA2A8AB4D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8013663"/>
        <c:axId val="28017503"/>
      </c:lineChart>
      <c:catAx>
        <c:axId val="28013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017503"/>
        <c:crosses val="autoZero"/>
        <c:auto val="1"/>
        <c:lblAlgn val="ctr"/>
        <c:lblOffset val="100"/>
        <c:noMultiLvlLbl val="0"/>
      </c:catAx>
      <c:valAx>
        <c:axId val="28017503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\₹#,##0" sourceLinked="1"/>
        <c:majorTickMark val="none"/>
        <c:minorTickMark val="none"/>
        <c:tickLblPos val="nextTo"/>
        <c:crossAx val="28013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'Daily Sales'!$P$36</c:f>
              <c:strCache>
                <c:ptCount val="1"/>
                <c:pt idx="0">
                  <c:v>Sales Velocity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'Daily Sales'!$O$37:$O$40</c:f>
              <c:strCache>
                <c:ptCount val="4"/>
                <c:pt idx="0">
                  <c:v>Bracelets</c:v>
                </c:pt>
                <c:pt idx="1">
                  <c:v>Earrings</c:v>
                </c:pt>
                <c:pt idx="2">
                  <c:v>Neckpieces</c:v>
                </c:pt>
                <c:pt idx="3">
                  <c:v>Rings</c:v>
                </c:pt>
              </c:strCache>
            </c:strRef>
          </c:cat>
          <c:val>
            <c:numRef>
              <c:f>'Daily Sales'!$P$37:$P$40</c:f>
              <c:numCache>
                <c:formatCode>General</c:formatCode>
                <c:ptCount val="4"/>
                <c:pt idx="0">
                  <c:v>5.2307692307692308</c:v>
                </c:pt>
                <c:pt idx="1">
                  <c:v>7.8461538461538458</c:v>
                </c:pt>
                <c:pt idx="2">
                  <c:v>39.130000000000003</c:v>
                </c:pt>
                <c:pt idx="3">
                  <c:v>20.13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E0-4290-88CB-9D97A014C21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02003536"/>
        <c:axId val="1906086479"/>
      </c:barChart>
      <c:catAx>
        <c:axId val="902003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086479"/>
        <c:crosses val="autoZero"/>
        <c:auto val="1"/>
        <c:lblAlgn val="ctr"/>
        <c:lblOffset val="100"/>
        <c:noMultiLvlLbl val="0"/>
      </c:catAx>
      <c:valAx>
        <c:axId val="190608647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2003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Category</a:t>
            </a:r>
            <a:r>
              <a:rPr lang="en-IN" baseline="0"/>
              <a:t> MoM Growth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'Daily Sales'!$Y$47</c:f>
              <c:strCache>
                <c:ptCount val="1"/>
                <c:pt idx="0">
                  <c:v>Apr Growth%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'Daily Sales'!$X$48:$X$51</c:f>
              <c:strCache>
                <c:ptCount val="4"/>
                <c:pt idx="0">
                  <c:v>Bracelets</c:v>
                </c:pt>
                <c:pt idx="1">
                  <c:v>Earrings</c:v>
                </c:pt>
                <c:pt idx="2">
                  <c:v>Neckpieces</c:v>
                </c:pt>
                <c:pt idx="3">
                  <c:v>Rings</c:v>
                </c:pt>
              </c:strCache>
            </c:strRef>
          </c:cat>
          <c:val>
            <c:numRef>
              <c:f>'Daily Sales'!$Y$48:$Y$51</c:f>
              <c:numCache>
                <c:formatCode>0.00</c:formatCode>
                <c:ptCount val="4"/>
                <c:pt idx="0">
                  <c:v>31.7</c:v>
                </c:pt>
                <c:pt idx="1">
                  <c:v>4.0599999999999996</c:v>
                </c:pt>
                <c:pt idx="2">
                  <c:v>184.95</c:v>
                </c:pt>
                <c:pt idx="3">
                  <c:v>51.38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E6-4CE5-9487-FCDC15327CF4}"/>
            </c:ext>
          </c:extLst>
        </c:ser>
        <c:ser>
          <c:idx val="1"/>
          <c:order val="1"/>
          <c:tx>
            <c:strRef>
              <c:f>'Daily Sales'!$Z$47</c:f>
              <c:strCache>
                <c:ptCount val="1"/>
                <c:pt idx="0">
                  <c:v>May Growth%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'Daily Sales'!$X$48:$X$51</c:f>
              <c:strCache>
                <c:ptCount val="4"/>
                <c:pt idx="0">
                  <c:v>Bracelets</c:v>
                </c:pt>
                <c:pt idx="1">
                  <c:v>Earrings</c:v>
                </c:pt>
                <c:pt idx="2">
                  <c:v>Neckpieces</c:v>
                </c:pt>
                <c:pt idx="3">
                  <c:v>Rings</c:v>
                </c:pt>
              </c:strCache>
            </c:strRef>
          </c:cat>
          <c:val>
            <c:numRef>
              <c:f>'Daily Sales'!$Z$48:$Z$51</c:f>
              <c:numCache>
                <c:formatCode>General</c:formatCode>
                <c:ptCount val="4"/>
                <c:pt idx="0" formatCode="0.00">
                  <c:v>53.58</c:v>
                </c:pt>
                <c:pt idx="1">
                  <c:v>87.37</c:v>
                </c:pt>
                <c:pt idx="2" formatCode="0.00">
                  <c:v>46.59</c:v>
                </c:pt>
                <c:pt idx="3" formatCode="0.00">
                  <c:v>17.309999999999999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E6-4CE5-9487-FCDC15327CF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02010032"/>
        <c:axId val="1906078799"/>
      </c:barChart>
      <c:catAx>
        <c:axId val="902010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078799"/>
        <c:crosses val="autoZero"/>
        <c:auto val="1"/>
        <c:lblAlgn val="ctr"/>
        <c:lblOffset val="100"/>
        <c:noMultiLvlLbl val="0"/>
      </c:catAx>
      <c:valAx>
        <c:axId val="190607879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90201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Demand</a:t>
            </a:r>
            <a:r>
              <a:rPr lang="en-US" baseline="0"/>
              <a:t> Variability by Category</a:t>
            </a:r>
          </a:p>
          <a:p>
            <a:pPr>
              <a:defRPr/>
            </a:pPr>
            <a:r>
              <a:rPr lang="en-US" baseline="0"/>
              <a:t> (</a:t>
            </a:r>
            <a:r>
              <a:rPr lang="en-US"/>
              <a:t>CV%)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'Daily Sales'!$AA$1</c:f>
              <c:strCache>
                <c:ptCount val="1"/>
                <c:pt idx="0">
                  <c:v>CV%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'Daily Sales'!$U$2:$U$5</c:f>
              <c:strCache>
                <c:ptCount val="4"/>
                <c:pt idx="0">
                  <c:v>Rings</c:v>
                </c:pt>
                <c:pt idx="1">
                  <c:v>Neckpieces</c:v>
                </c:pt>
                <c:pt idx="2">
                  <c:v>Bracelets</c:v>
                </c:pt>
                <c:pt idx="3">
                  <c:v>Earrings</c:v>
                </c:pt>
              </c:strCache>
            </c:strRef>
          </c:cat>
          <c:val>
            <c:numRef>
              <c:f>'Daily Sales'!$AA$2:$AA$5</c:f>
              <c:numCache>
                <c:formatCode>General</c:formatCode>
                <c:ptCount val="4"/>
                <c:pt idx="0">
                  <c:v>74.181928930715031</c:v>
                </c:pt>
                <c:pt idx="1">
                  <c:v>52.678268764263677</c:v>
                </c:pt>
                <c:pt idx="2">
                  <c:v>38.036815165816371</c:v>
                </c:pt>
                <c:pt idx="3">
                  <c:v>33.405343210589841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00-4222-AB7F-0DFDC0ECC92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02008640"/>
        <c:axId val="100233360"/>
      </c:barChart>
      <c:catAx>
        <c:axId val="9020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3360"/>
        <c:crosses val="autoZero"/>
        <c:auto val="1"/>
        <c:lblAlgn val="ctr"/>
        <c:lblOffset val="100"/>
        <c:noMultiLvlLbl val="0"/>
      </c:catAx>
      <c:valAx>
        <c:axId val="10023336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20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Category</a:t>
            </a:r>
            <a:r>
              <a:rPr lang="en-IN" baseline="0"/>
              <a:t> and Sell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'Daily Sales'!$V$1</c:f>
              <c:strCache>
                <c:ptCount val="1"/>
                <c:pt idx="0">
                  <c:v>Mar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'Daily Sales'!$U$2:$U$5</c:f>
              <c:strCache>
                <c:ptCount val="4"/>
                <c:pt idx="0">
                  <c:v>Rings</c:v>
                </c:pt>
                <c:pt idx="1">
                  <c:v>Neckpieces</c:v>
                </c:pt>
                <c:pt idx="2">
                  <c:v>Bracelets</c:v>
                </c:pt>
                <c:pt idx="3">
                  <c:v>Earrings</c:v>
                </c:pt>
              </c:strCache>
            </c:strRef>
          </c:cat>
          <c:val>
            <c:numRef>
              <c:f>'Daily Sales'!$V$2:$V$5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15</c:v>
                </c:pt>
                <c:pt idx="3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0D-4770-8023-337C512C1882}"/>
            </c:ext>
          </c:extLst>
        </c:ser>
        <c:ser>
          <c:idx val="1"/>
          <c:order val="1"/>
          <c:tx>
            <c:strRef>
              <c:f>'Daily Sales'!$W$1</c:f>
              <c:strCache>
                <c:ptCount val="1"/>
                <c:pt idx="0">
                  <c:v>Apr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'Daily Sales'!$U$2:$U$5</c:f>
              <c:strCache>
                <c:ptCount val="4"/>
                <c:pt idx="0">
                  <c:v>Rings</c:v>
                </c:pt>
                <c:pt idx="1">
                  <c:v>Neckpieces</c:v>
                </c:pt>
                <c:pt idx="2">
                  <c:v>Bracelets</c:v>
                </c:pt>
                <c:pt idx="3">
                  <c:v>Earrings</c:v>
                </c:pt>
              </c:strCache>
            </c:strRef>
          </c:cat>
          <c:val>
            <c:numRef>
              <c:f>'Daily Sales'!$W$2:$W$5</c:f>
              <c:numCache>
                <c:formatCode>General</c:formatCode>
                <c:ptCount val="4"/>
                <c:pt idx="0">
                  <c:v>17</c:v>
                </c:pt>
                <c:pt idx="1">
                  <c:v>7</c:v>
                </c:pt>
                <c:pt idx="2">
                  <c:v>21</c:v>
                </c:pt>
                <c:pt idx="3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0D-4770-8023-337C512C1882}"/>
            </c:ext>
          </c:extLst>
        </c:ser>
        <c:ser>
          <c:idx val="2"/>
          <c:order val="2"/>
          <c:tx>
            <c:strRef>
              <c:f>'Daily Sales'!$X$1</c:f>
              <c:strCache>
                <c:ptCount val="1"/>
                <c:pt idx="0">
                  <c:v>May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'Daily Sales'!$U$2:$U$5</c:f>
              <c:strCache>
                <c:ptCount val="4"/>
                <c:pt idx="0">
                  <c:v>Rings</c:v>
                </c:pt>
                <c:pt idx="1">
                  <c:v>Neckpieces</c:v>
                </c:pt>
                <c:pt idx="2">
                  <c:v>Bracelets</c:v>
                </c:pt>
                <c:pt idx="3">
                  <c:v>Earrings</c:v>
                </c:pt>
              </c:strCache>
            </c:strRef>
          </c:cat>
          <c:val>
            <c:numRef>
              <c:f>'Daily Sales'!$X$2:$X$5</c:f>
              <c:numCache>
                <c:formatCode>General</c:formatCode>
                <c:ptCount val="4"/>
                <c:pt idx="0">
                  <c:v>20</c:v>
                </c:pt>
                <c:pt idx="1">
                  <c:v>10</c:v>
                </c:pt>
                <c:pt idx="2">
                  <c:v>32</c:v>
                </c:pt>
                <c:pt idx="3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0D-4770-8023-337C512C188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02242032"/>
        <c:axId val="1906115759"/>
      </c:barChart>
      <c:catAx>
        <c:axId val="902242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115759"/>
        <c:crosses val="autoZero"/>
        <c:auto val="1"/>
        <c:lblAlgn val="ctr"/>
        <c:lblOffset val="100"/>
        <c:noMultiLvlLbl val="0"/>
      </c:catAx>
      <c:valAx>
        <c:axId val="190611575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224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Contribution by Product Category (Mar–May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'Product Summary'!$K$1</c:f>
              <c:strCache>
                <c:ptCount val="1"/>
                <c:pt idx="0">
                  <c:v>Total Revenue</c:v>
                </c:pt>
              </c:strCache>
            </c:strRef>
          </c:tx>
          <c:spPr>
            <a:gradFill>
              <a:gsLst>
                <a:gs pos="0">
                  <a:schemeClr val="accent1">
                    <a:shade val="51000"/>
                  </a:schemeClr>
                </a:gs>
                <a:gs pos="80000">
                  <a:schemeClr val="accent1">
                    <a:shade val="93000"/>
                  </a:schemeClr>
                </a:gs>
                <a:gs pos="100000">
                  <a:schemeClr val="accent1">
                    <a:shade val="94000"/>
                  </a:schemeClr>
                </a:gs>
              </a:gsLst>
              <a:lin ang="16200000" scaled="0"/>
              <a:tileRect/>
            </a:gradFill>
            <a:ln>
              <a:noFill/>
            </a:ln>
            <a:effectLst/>
          </c:spPr>
          <c:invertIfNegative val="0"/>
          <c:cat>
            <c:strRef>
              <c:f>'Product Summary'!$J$2:$J$5</c:f>
              <c:strCache>
                <c:ptCount val="4"/>
                <c:pt idx="0">
                  <c:v>Bracelets</c:v>
                </c:pt>
                <c:pt idx="1">
                  <c:v>Earrings</c:v>
                </c:pt>
                <c:pt idx="2">
                  <c:v>Rings</c:v>
                </c:pt>
                <c:pt idx="3">
                  <c:v>Neckpieces</c:v>
                </c:pt>
              </c:strCache>
            </c:strRef>
          </c:cat>
          <c:val>
            <c:numRef>
              <c:f>'Product Summary'!$K$2:$K$5</c:f>
              <c:numCache>
                <c:formatCode>General</c:formatCode>
                <c:ptCount val="4"/>
                <c:pt idx="0">
                  <c:v>21850</c:v>
                </c:pt>
                <c:pt idx="1">
                  <c:v>20343</c:v>
                </c:pt>
                <c:pt idx="2">
                  <c:v>7793</c:v>
                </c:pt>
                <c:pt idx="3">
                  <c:v>4214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D4-40DC-99D3-64BBDAFE90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21519696"/>
        <c:axId val="1521522576"/>
      </c:barChart>
      <c:lineChart>
        <c:grouping val="standard"/>
        <c:varyColors val="0"/>
        <c:ser>
          <c:idx val="1"/>
          <c:order val="1"/>
          <c:tx>
            <c:strRef>
              <c:f>'Product Summary'!$L$1</c:f>
              <c:strCache>
                <c:ptCount val="1"/>
                <c:pt idx="0">
                  <c:v>Cumulative Revenue %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'Product Summary'!$J$2:$J$5</c:f>
              <c:strCache>
                <c:ptCount val="4"/>
                <c:pt idx="0">
                  <c:v>Bracelets</c:v>
                </c:pt>
                <c:pt idx="1">
                  <c:v>Earrings</c:v>
                </c:pt>
                <c:pt idx="2">
                  <c:v>Rings</c:v>
                </c:pt>
                <c:pt idx="3">
                  <c:v>Neckpieces</c:v>
                </c:pt>
              </c:strCache>
            </c:strRef>
          </c:cat>
          <c:val>
            <c:numRef>
              <c:f>'Product Summary'!$L$2:$L$5</c:f>
              <c:numCache>
                <c:formatCode>General</c:formatCode>
                <c:ptCount val="4"/>
                <c:pt idx="0">
                  <c:v>0.40313653136531363</c:v>
                </c:pt>
                <c:pt idx="1">
                  <c:v>0.77846863468634686</c:v>
                </c:pt>
                <c:pt idx="2">
                  <c:v>0.92225092250922502</c:v>
                </c:pt>
                <c:pt idx="3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D4-40DC-99D3-64BBDAFE90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527856"/>
        <c:axId val="1521525456"/>
      </c:lineChart>
      <c:catAx>
        <c:axId val="152151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1522576"/>
        <c:crosses val="autoZero"/>
        <c:auto val="1"/>
        <c:lblAlgn val="ctr"/>
        <c:lblOffset val="100"/>
        <c:noMultiLvlLbl val="0"/>
      </c:catAx>
      <c:valAx>
        <c:axId val="152152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1519696"/>
        <c:crosses val="autoZero"/>
        <c:crossBetween val="between"/>
      </c:valAx>
      <c:catAx>
        <c:axId val="152152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521525456"/>
        <c:crosses val="autoZero"/>
        <c:auto val="1"/>
        <c:lblAlgn val="ctr"/>
        <c:lblOffset val="100"/>
        <c:noMultiLvlLbl val="0"/>
      </c:catAx>
      <c:valAx>
        <c:axId val="1521525456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1527856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 sz="1600" b="1" i="0" strike="noStrike" baseline="0"/>
              <a:t>Total Revenue by Product Category </a:t>
            </a:r>
          </a:p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 sz="1600" b="1" i="0" strike="noStrike" baseline="0"/>
              <a:t>(Mar–May 2026)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'Product Summary'!$K$1</c:f>
              <c:strCache>
                <c:ptCount val="1"/>
                <c:pt idx="0">
                  <c:v>Total Revenue</c:v>
                </c:pt>
              </c:strCache>
            </c:strRef>
          </c:tx>
          <c:spPr>
            <a:gradFill>
              <a:gsLst>
                <a:gs pos="0">
                  <a:schemeClr val="accent1">
                    <a:shade val="51000"/>
                  </a:schemeClr>
                </a:gs>
                <a:gs pos="80000">
                  <a:schemeClr val="accent1">
                    <a:shade val="93000"/>
                  </a:schemeClr>
                </a:gs>
                <a:gs pos="100000">
                  <a:schemeClr val="accent1">
                    <a:shade val="94000"/>
                  </a:schemeClr>
                </a:gs>
              </a:gsLst>
              <a:lin ang="16200000" scaled="0"/>
              <a:tileRect/>
            </a:gra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'Product Summary'!$J$2:$J$5</c:f>
              <c:strCache>
                <c:ptCount val="4"/>
                <c:pt idx="0">
                  <c:v>Bracelets</c:v>
                </c:pt>
                <c:pt idx="1">
                  <c:v>Earrings</c:v>
                </c:pt>
                <c:pt idx="2">
                  <c:v>Rings</c:v>
                </c:pt>
                <c:pt idx="3">
                  <c:v>Neckpieces</c:v>
                </c:pt>
              </c:strCache>
            </c:strRef>
          </c:cat>
          <c:val>
            <c:numRef>
              <c:f>'Product Summary'!$K$2:$K$5</c:f>
              <c:numCache>
                <c:formatCode>General</c:formatCode>
                <c:ptCount val="4"/>
                <c:pt idx="0">
                  <c:v>21850</c:v>
                </c:pt>
                <c:pt idx="1">
                  <c:v>20343</c:v>
                </c:pt>
                <c:pt idx="2">
                  <c:v>7793</c:v>
                </c:pt>
                <c:pt idx="3">
                  <c:v>4214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FD-4CFB-8BAC-2C24E5B13A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29168256"/>
        <c:axId val="429161536"/>
      </c:barChart>
      <c:catAx>
        <c:axId val="42916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9161536"/>
        <c:crosses val="autoZero"/>
        <c:auto val="1"/>
        <c:lblAlgn val="ctr"/>
        <c:lblOffset val="100"/>
        <c:noMultiLvlLbl val="0"/>
      </c:catAx>
      <c:valAx>
        <c:axId val="42916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916825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800" b="1" i="0" u="none" strike="noStrike" baseline="0"/>
              <a:t>Hold Duration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'Hold Tracker'!$U$1</c:f>
              <c:strCache>
                <c:ptCount val="1"/>
                <c:pt idx="0">
                  <c:v>Converted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'Hold Tracker'!$T$2:$T$5</c:f>
              <c:strCache>
                <c:ptCount val="4"/>
                <c:pt idx="0">
                  <c:v>0–6 hrs</c:v>
                </c:pt>
                <c:pt idx="1">
                  <c:v>6–24 hrs</c:v>
                </c:pt>
                <c:pt idx="2">
                  <c:v>24–48 hrs</c:v>
                </c:pt>
                <c:pt idx="3">
                  <c:v>48+ hrs</c:v>
                </c:pt>
              </c:strCache>
            </c:strRef>
          </c:cat>
          <c:val>
            <c:numRef>
              <c:f>'Hold Tracker'!$U$2:$U$5</c:f>
              <c:numCache>
                <c:formatCode>General</c:formatCode>
                <c:ptCount val="4"/>
                <c:pt idx="0">
                  <c:v>20</c:v>
                </c:pt>
                <c:pt idx="1">
                  <c:v>4</c:v>
                </c:pt>
                <c:pt idx="2">
                  <c:v>5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30-42A3-A169-AA16F677F2AE}"/>
            </c:ext>
          </c:extLst>
        </c:ser>
        <c:ser>
          <c:idx val="1"/>
          <c:order val="1"/>
          <c:tx>
            <c:strRef>
              <c:f>'Hold Tracker'!$V$1</c:f>
              <c:strCache>
                <c:ptCount val="1"/>
                <c:pt idx="0">
                  <c:v>Ghosted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'Hold Tracker'!$T$2:$T$5</c:f>
              <c:strCache>
                <c:ptCount val="4"/>
                <c:pt idx="0">
                  <c:v>0–6 hrs</c:v>
                </c:pt>
                <c:pt idx="1">
                  <c:v>6–24 hrs</c:v>
                </c:pt>
                <c:pt idx="2">
                  <c:v>24–48 hrs</c:v>
                </c:pt>
                <c:pt idx="3">
                  <c:v>48+ hrs</c:v>
                </c:pt>
              </c:strCache>
            </c:strRef>
          </c:cat>
          <c:val>
            <c:numRef>
              <c:f>'Hold Tracker'!$V$2:$V$5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30-42A3-A169-AA16F677F2A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36752703"/>
        <c:axId val="836753183"/>
      </c:barChart>
      <c:catAx>
        <c:axId val="836752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753183"/>
        <c:crosses val="autoZero"/>
        <c:auto val="1"/>
        <c:lblAlgn val="ctr"/>
        <c:lblOffset val="100"/>
        <c:noMultiLvlLbl val="0"/>
      </c:catAx>
      <c:valAx>
        <c:axId val="836753183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6752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1" i="0" u="none" strike="noStrike" baseline="0"/>
              <a:t>Inventory Value Held by Category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'Hold Tracker'!$U$8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'Hold Tracker'!$T$9:$T$12</c:f>
              <c:strCache>
                <c:ptCount val="4"/>
                <c:pt idx="0">
                  <c:v>Earrings</c:v>
                </c:pt>
                <c:pt idx="1">
                  <c:v>Bracelets</c:v>
                </c:pt>
                <c:pt idx="2">
                  <c:v>Rings</c:v>
                </c:pt>
                <c:pt idx="3">
                  <c:v>Neckpieces</c:v>
                </c:pt>
              </c:strCache>
            </c:strRef>
          </c:cat>
          <c:val>
            <c:numRef>
              <c:f>'Hold Tracker'!$U$9:$U$12</c:f>
              <c:numCache>
                <c:formatCode>General</c:formatCode>
                <c:ptCount val="4"/>
                <c:pt idx="0">
                  <c:v>5806</c:v>
                </c:pt>
                <c:pt idx="1">
                  <c:v>8404</c:v>
                </c:pt>
                <c:pt idx="2">
                  <c:v>1244</c:v>
                </c:pt>
                <c:pt idx="3">
                  <c:v>1246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74-41D3-A4B5-33B2AA455C3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62867871"/>
        <c:axId val="662869311"/>
      </c:barChart>
      <c:catAx>
        <c:axId val="66286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869311"/>
        <c:crosses val="autoZero"/>
        <c:auto val="1"/>
        <c:lblAlgn val="ctr"/>
        <c:lblOffset val="100"/>
        <c:noMultiLvlLbl val="0"/>
      </c:catAx>
      <c:valAx>
        <c:axId val="66286931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6286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1" i="0" u="none" strike="noStrike" baseline="0"/>
              <a:t>Monthly Value Held Under Reservation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'Hold Tracker'!$U$15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'Hold Tracker'!$T$16:$T$18</c:f>
              <c:strCache>
                <c:ptCount val="3"/>
                <c:pt idx="0">
                  <c:v>Mar</c:v>
                </c:pt>
                <c:pt idx="1">
                  <c:v>Apr</c:v>
                </c:pt>
                <c:pt idx="2">
                  <c:v>May</c:v>
                </c:pt>
              </c:strCache>
            </c:strRef>
          </c:cat>
          <c:val>
            <c:numRef>
              <c:f>'Hold Tracker'!$U$16:$U$18</c:f>
              <c:numCache>
                <c:formatCode>General</c:formatCode>
                <c:ptCount val="3"/>
                <c:pt idx="0">
                  <c:v>3172</c:v>
                </c:pt>
                <c:pt idx="1">
                  <c:v>5097</c:v>
                </c:pt>
                <c:pt idx="2">
                  <c:v>8431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88-46C9-B96D-FC43A3DAA36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36697983"/>
        <c:axId val="836701823"/>
      </c:barChart>
      <c:catAx>
        <c:axId val="83669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701823"/>
        <c:crosses val="autoZero"/>
        <c:auto val="1"/>
        <c:lblAlgn val="ctr"/>
        <c:lblOffset val="100"/>
        <c:noMultiLvlLbl val="0"/>
      </c:catAx>
      <c:valAx>
        <c:axId val="836701823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6697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Ghost Rate by Product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'Hold Tracker'!$U$21</c:f>
              <c:strCache>
                <c:ptCount val="1"/>
                <c:pt idx="0">
                  <c:v>Ghost Rate %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'Hold Tracker'!$T$22:$T$25</c:f>
              <c:strCache>
                <c:ptCount val="4"/>
                <c:pt idx="0">
                  <c:v>Earrings</c:v>
                </c:pt>
                <c:pt idx="1">
                  <c:v>Bracelets</c:v>
                </c:pt>
                <c:pt idx="2">
                  <c:v>Rings</c:v>
                </c:pt>
                <c:pt idx="3">
                  <c:v>Neckpieces</c:v>
                </c:pt>
              </c:strCache>
            </c:strRef>
          </c:cat>
          <c:val>
            <c:numRef>
              <c:f>'Hold Tracker'!$U$22:$U$25</c:f>
              <c:numCache>
                <c:formatCode>0%</c:formatCode>
                <c:ptCount val="4"/>
                <c:pt idx="0">
                  <c:v>0.21428571428571427</c:v>
                </c:pt>
                <c:pt idx="1">
                  <c:v>0.2</c:v>
                </c:pt>
                <c:pt idx="2">
                  <c:v>0.25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80-46B6-A5B3-EB37C6B9F8D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36747423"/>
        <c:axId val="836749343"/>
      </c:barChart>
      <c:catAx>
        <c:axId val="836747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6749343"/>
        <c:crosses val="autoZero"/>
        <c:auto val="1"/>
        <c:lblAlgn val="ctr"/>
        <c:lblOffset val="100"/>
        <c:noMultiLvlLbl val="0"/>
      </c:catAx>
      <c:valAx>
        <c:axId val="836749343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836747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800" b="1" i="0" u="none" strike="noStrike" baseline="0"/>
              <a:t>Monthly Ghost Rate Trend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'Hold Tracker'!$U$28</c:f>
              <c:strCache>
                <c:ptCount val="1"/>
                <c:pt idx="0">
                  <c:v>Ghost Rate %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'Hold Tracker'!$T$29:$T$31</c:f>
              <c:strCache>
                <c:ptCount val="3"/>
                <c:pt idx="0">
                  <c:v>Mar</c:v>
                </c:pt>
                <c:pt idx="1">
                  <c:v>Apr</c:v>
                </c:pt>
                <c:pt idx="2">
                  <c:v>May</c:v>
                </c:pt>
              </c:strCache>
            </c:strRef>
          </c:cat>
          <c:val>
            <c:numRef>
              <c:f>'Hold Tracker'!$U$29:$U$31</c:f>
              <c:numCache>
                <c:formatCode>0%</c:formatCode>
                <c:ptCount val="3"/>
                <c:pt idx="0">
                  <c:v>0.25</c:v>
                </c:pt>
                <c:pt idx="1">
                  <c:v>0.2</c:v>
                </c:pt>
                <c:pt idx="2">
                  <c:v>0.16666666666666666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EC-41DE-A45F-DEBF99C6532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88132351"/>
        <c:axId val="988132831"/>
      </c:lineChart>
      <c:catAx>
        <c:axId val="988132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8132831"/>
        <c:crosses val="autoZero"/>
        <c:auto val="1"/>
        <c:lblAlgn val="ctr"/>
        <c:lblOffset val="100"/>
        <c:noMultiLvlLbl val="0"/>
      </c:catAx>
      <c:valAx>
        <c:axId val="98813283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988132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800" b="1" i="0" u="none" strike="noStrike" baseline="0"/>
              <a:t>Financial Impact of Bargaining</a:t>
            </a:r>
            <a:endParaRPr lang="en-US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'Hold Tracker'!$U$39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'Hold Tracker'!$T$40:$T$41</c:f>
              <c:strCache>
                <c:ptCount val="2"/>
                <c:pt idx="0">
                  <c:v>Bargained Converted Orders</c:v>
                </c:pt>
                <c:pt idx="1">
                  <c:v>Estimated Revenue Reduction</c:v>
                </c:pt>
              </c:strCache>
            </c:strRef>
          </c:cat>
          <c:val>
            <c:numRef>
              <c:f>'Hold Tracker'!$U$40:$U$41</c:f>
              <c:numCache>
                <c:formatCode>General</c:formatCode>
                <c:ptCount val="2"/>
                <c:pt idx="0">
                  <c:v>10230</c:v>
                </c:pt>
                <c:pt idx="1">
                  <c:v>1198.4399999999998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26-40A6-9917-247F41F0437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885540623"/>
        <c:axId val="1885541103"/>
      </c:barChart>
      <c:catAx>
        <c:axId val="1885540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541103"/>
        <c:crosses val="autoZero"/>
        <c:auto val="1"/>
        <c:lblAlgn val="ctr"/>
        <c:lblOffset val="100"/>
        <c:noMultiLvlLbl val="0"/>
      </c:catAx>
      <c:valAx>
        <c:axId val="1885541103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85540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1" i="0" u="none" strike="noStrike" baseline="0"/>
              <a:t>Ghosted Orders Flagged Under Hold Policies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'Hold Tracker'!$U$44</c:f>
              <c:strCache>
                <c:ptCount val="1"/>
                <c:pt idx="0">
                  <c:v>Orders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'Hold Tracker'!$T$45:$T$46</c:f>
              <c:strCache>
                <c:ptCount val="2"/>
                <c:pt idx="0">
                  <c:v>Ghosted &gt;24 hrs</c:v>
                </c:pt>
                <c:pt idx="1">
                  <c:v>Ghosted &gt;48 hrs</c:v>
                </c:pt>
              </c:strCache>
            </c:strRef>
          </c:cat>
          <c:val>
            <c:numRef>
              <c:f>'Hold Tracker'!$U$45:$U$46</c:f>
              <c:numCache>
                <c:formatCode>General</c:formatCode>
                <c:ptCount val="2"/>
                <c:pt idx="0">
                  <c:v>7</c:v>
                </c:pt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98-4D25-9DD0-6F84D4E6900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7427647"/>
        <c:axId val="2127427167"/>
      </c:barChart>
      <c:catAx>
        <c:axId val="2127427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7427167"/>
        <c:crosses val="autoZero"/>
        <c:auto val="1"/>
        <c:lblAlgn val="ctr"/>
        <c:lblOffset val="100"/>
        <c:noMultiLvlLbl val="0"/>
      </c:catAx>
      <c:valAx>
        <c:axId val="212742716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127427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Inventory Value Released Under Hold Policies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'Hold Tracker'!$U$49</c:f>
              <c:strCache>
                <c:ptCount val="1"/>
                <c:pt idx="0">
                  <c:v>Value Released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'Hold Tracker'!$T$50:$T$51</c:f>
              <c:strCache>
                <c:ptCount val="2"/>
                <c:pt idx="0">
                  <c:v>24-hour Rule</c:v>
                </c:pt>
                <c:pt idx="1">
                  <c:v>48-hour Rule</c:v>
                </c:pt>
              </c:strCache>
            </c:strRef>
          </c:cat>
          <c:val>
            <c:numRef>
              <c:f>'Hold Tracker'!$U$50:$U$51</c:f>
              <c:numCache>
                <c:formatCode>General</c:formatCode>
                <c:ptCount val="2"/>
                <c:pt idx="0">
                  <c:v>2320</c:v>
                </c:pt>
                <c:pt idx="1">
                  <c:v>1813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72-4766-9375-65E40C8F013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7436767"/>
        <c:axId val="2127431487"/>
      </c:barChart>
      <c:catAx>
        <c:axId val="2127436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7431487"/>
        <c:crosses val="autoZero"/>
        <c:auto val="1"/>
        <c:lblAlgn val="ctr"/>
        <c:lblOffset val="100"/>
        <c:noMultiLvlLbl val="0"/>
      </c:catAx>
      <c:valAx>
        <c:axId val="212743148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12743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Stock-hours Blocked by Hold Outcome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'Hold Tracker'!$U$54</c:f>
              <c:strCache>
                <c:ptCount val="1"/>
                <c:pt idx="0">
                  <c:v>Stock-hours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'Hold Tracker'!$T$55:$T$56</c:f>
              <c:strCache>
                <c:ptCount val="2"/>
                <c:pt idx="0">
                  <c:v>Converted</c:v>
                </c:pt>
                <c:pt idx="1">
                  <c:v>Ghosted</c:v>
                </c:pt>
              </c:strCache>
            </c:strRef>
          </c:cat>
          <c:val>
            <c:numRef>
              <c:f>'Hold Tracker'!$U$55:$U$56</c:f>
              <c:numCache>
                <c:formatCode>General</c:formatCode>
                <c:ptCount val="2"/>
                <c:pt idx="0">
                  <c:v>138871.4</c:v>
                </c:pt>
                <c:pt idx="1">
                  <c:v>173957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0-4B38-87AB-32BCBF13A1A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7428607"/>
        <c:axId val="2127432447"/>
      </c:barChart>
      <c:catAx>
        <c:axId val="2127428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7432447"/>
        <c:crosses val="autoZero"/>
        <c:auto val="1"/>
        <c:lblAlgn val="ctr"/>
        <c:lblOffset val="100"/>
        <c:noMultiLvlLbl val="0"/>
      </c:catAx>
      <c:valAx>
        <c:axId val="212743244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127428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Bargaining Rate: Converted vs Ghosted Holds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'Hold Tracker'!$N$30</c:f>
              <c:strCache>
                <c:ptCount val="1"/>
                <c:pt idx="0">
                  <c:v>Bargain Rate %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'Hold Tracker'!$M$31:$M$32</c:f>
              <c:strCache>
                <c:ptCount val="2"/>
                <c:pt idx="0">
                  <c:v>Converted</c:v>
                </c:pt>
                <c:pt idx="1">
                  <c:v>Ghosted</c:v>
                </c:pt>
              </c:strCache>
            </c:strRef>
          </c:cat>
          <c:val>
            <c:numRef>
              <c:f>'Hold Tracker'!$N$31:$N$32</c:f>
              <c:numCache>
                <c:formatCode>0.00</c:formatCode>
                <c:ptCount val="2"/>
                <c:pt idx="0" formatCode="General">
                  <c:v>69</c:v>
                </c:pt>
                <c:pt idx="1">
                  <c:v>85.7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3F-467A-9F5C-944989D8DFC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723801936"/>
        <c:axId val="1722121776"/>
      </c:barChart>
      <c:catAx>
        <c:axId val="172380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2121776"/>
        <c:crosses val="autoZero"/>
        <c:auto val="1"/>
        <c:lblAlgn val="ctr"/>
        <c:lblOffset val="100"/>
        <c:noMultiLvlLbl val="0"/>
      </c:catAx>
      <c:valAx>
        <c:axId val="172212177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900" b="1" i="0" u="none" strike="noStrike" baseline="0"/>
                  <a:t>% of Holds with Bargaining Attempt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crossAx val="1723801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Hold Outcome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'Hold Tracker'!$U$34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94-4233-8E79-C2439868CF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EA94-4233-8E79-C2439868CF0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'Hold Tracker'!$T$35:$T$36</c:f>
              <c:strCache>
                <c:ptCount val="2"/>
                <c:pt idx="0">
                  <c:v>Converted</c:v>
                </c:pt>
                <c:pt idx="1">
                  <c:v>Ghosted</c:v>
                </c:pt>
              </c:strCache>
            </c:strRef>
          </c:cat>
          <c:val>
            <c:numRef>
              <c:f>'Hold Tracker'!$U$35:$U$36</c:f>
              <c:numCache>
                <c:formatCode>General</c:formatCode>
                <c:ptCount val="2"/>
                <c:pt idx="0">
                  <c:v>29</c:v>
                </c:pt>
                <c:pt idx="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4-4233-8E79-C2439868CF0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11" Type="http://schemas.openxmlformats.org/officeDocument/2006/relationships/chart" Target="../charts/chart20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31750</xdr:colOff>
      <xdr:row>0</xdr:row>
      <xdr:rowOff>47625</xdr:rowOff>
    </xdr:from>
    <xdr:to>
      <xdr:col>19</xdr:col>
      <xdr:colOff>361950</xdr:colOff>
      <xdr:row>11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155139</xdr:colOff>
      <xdr:row>27</xdr:row>
      <xdr:rowOff>126917</xdr:rowOff>
    </xdr:from>
    <xdr:to>
      <xdr:col>19</xdr:col>
      <xdr:colOff>456764</xdr:colOff>
      <xdr:row>42</xdr:row>
      <xdr:rowOff>149142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41275</xdr:colOff>
      <xdr:row>12</xdr:row>
      <xdr:rowOff>9525</xdr:rowOff>
    </xdr:from>
    <xdr:to>
      <xdr:col>19</xdr:col>
      <xdr:colOff>451555</xdr:colOff>
      <xdr:row>26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396739</xdr:colOff>
      <xdr:row>43</xdr:row>
      <xdr:rowOff>51453</xdr:rowOff>
    </xdr:from>
    <xdr:to>
      <xdr:col>13</xdr:col>
      <xdr:colOff>430388</xdr:colOff>
      <xdr:row>57</xdr:row>
      <xdr:rowOff>129823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9C3EE8E-8027-1DF2-267E-3E3DA3C35F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49389</xdr:colOff>
      <xdr:row>36</xdr:row>
      <xdr:rowOff>169333</xdr:rowOff>
    </xdr:from>
    <xdr:to>
      <xdr:col>29</xdr:col>
      <xdr:colOff>536223</xdr:colOff>
      <xdr:row>52</xdr:row>
      <xdr:rowOff>66322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6247325-C715-6938-F64F-4EE99727B7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740833</xdr:colOff>
      <xdr:row>8</xdr:row>
      <xdr:rowOff>46566</xdr:rowOff>
    </xdr:from>
    <xdr:to>
      <xdr:col>29</xdr:col>
      <xdr:colOff>261056</xdr:colOff>
      <xdr:row>22</xdr:row>
      <xdr:rowOff>23988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90FA5FDB-58B6-D009-F557-26B80E6FB0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19</xdr:col>
      <xdr:colOff>740833</xdr:colOff>
      <xdr:row>22</xdr:row>
      <xdr:rowOff>103011</xdr:rowOff>
    </xdr:from>
    <xdr:to>
      <xdr:col>29</xdr:col>
      <xdr:colOff>261056</xdr:colOff>
      <xdr:row>36</xdr:row>
      <xdr:rowOff>80433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1885345F-5F22-37D0-2CCB-B499227A3F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139700</xdr:colOff>
      <xdr:row>10</xdr:row>
      <xdr:rowOff>104775</xdr:rowOff>
    </xdr:from>
    <xdr:to>
      <xdr:col>16</xdr:col>
      <xdr:colOff>195385</xdr:colOff>
      <xdr:row>24</xdr:row>
      <xdr:rowOff>146538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1692276</xdr:colOff>
      <xdr:row>5</xdr:row>
      <xdr:rowOff>85887</xdr:rowOff>
    </xdr:from>
    <xdr:to>
      <xdr:col>12</xdr:col>
      <xdr:colOff>260512</xdr:colOff>
      <xdr:row>20</xdr:row>
      <xdr:rowOff>8141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593725</xdr:colOff>
      <xdr:row>0</xdr:row>
      <xdr:rowOff>12699</xdr:rowOff>
    </xdr:from>
    <xdr:to>
      <xdr:col>28</xdr:col>
      <xdr:colOff>526584</xdr:colOff>
      <xdr:row>12</xdr:row>
      <xdr:rowOff>123902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775B2-DF0C-EAE2-DDA3-BB3D32902D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606425</xdr:colOff>
      <xdr:row>12</xdr:row>
      <xdr:rowOff>165100</xdr:rowOff>
    </xdr:from>
    <xdr:to>
      <xdr:col>28</xdr:col>
      <xdr:colOff>542072</xdr:colOff>
      <xdr:row>25</xdr:row>
      <xdr:rowOff>61952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CBEF90-6143-F4CD-919B-147DD574DB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606426</xdr:colOff>
      <xdr:row>26</xdr:row>
      <xdr:rowOff>50799</xdr:rowOff>
    </xdr:from>
    <xdr:to>
      <xdr:col>28</xdr:col>
      <xdr:colOff>549817</xdr:colOff>
      <xdr:row>39</xdr:row>
      <xdr:rowOff>30974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04C624F-0BED-B250-5C3F-B7578C059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34925</xdr:colOff>
      <xdr:row>0</xdr:row>
      <xdr:rowOff>0</xdr:rowOff>
    </xdr:from>
    <xdr:to>
      <xdr:col>34</xdr:col>
      <xdr:colOff>325244</xdr:colOff>
      <xdr:row>11</xdr:row>
      <xdr:rowOff>178110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31D272-3CAE-EAF4-5857-9362D893E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30510</xdr:colOff>
      <xdr:row>12</xdr:row>
      <xdr:rowOff>139080</xdr:rowOff>
    </xdr:from>
    <xdr:to>
      <xdr:col>34</xdr:col>
      <xdr:colOff>371707</xdr:colOff>
      <xdr:row>23</xdr:row>
      <xdr:rowOff>147134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BC7CDDA-C05C-4D5C-9C12-E58F83D438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7744</xdr:colOff>
      <xdr:row>39</xdr:row>
      <xdr:rowOff>209032</xdr:rowOff>
    </xdr:from>
    <xdr:to>
      <xdr:col>28</xdr:col>
      <xdr:colOff>232317</xdr:colOff>
      <xdr:row>47</xdr:row>
      <xdr:rowOff>154878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71E0F7E-1BC0-ED95-E0D4-6AF78C2429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37170</xdr:colOff>
      <xdr:row>37</xdr:row>
      <xdr:rowOff>162569</xdr:rowOff>
    </xdr:from>
    <xdr:to>
      <xdr:col>34</xdr:col>
      <xdr:colOff>363963</xdr:colOff>
      <xdr:row>45</xdr:row>
      <xdr:rowOff>255548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C7467D-DBA8-A101-BE23-A872D8A1E7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29</xdr:col>
      <xdr:colOff>51927</xdr:colOff>
      <xdr:row>46</xdr:row>
      <xdr:rowOff>45095</xdr:rowOff>
    </xdr:from>
    <xdr:to>
      <xdr:col>34</xdr:col>
      <xdr:colOff>425915</xdr:colOff>
      <xdr:row>58</xdr:row>
      <xdr:rowOff>46462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F1DAF9C-67F4-621B-17B9-A2263ED7A7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22</xdr:col>
      <xdr:colOff>597010</xdr:colOff>
      <xdr:row>48</xdr:row>
      <xdr:rowOff>154241</xdr:rowOff>
    </xdr:from>
    <xdr:to>
      <xdr:col>28</xdr:col>
      <xdr:colOff>472378</xdr:colOff>
      <xdr:row>60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7C03B59-7F68-5231-4D5B-334B91B9D1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592979</xdr:colOff>
      <xdr:row>27</xdr:row>
      <xdr:rowOff>46703</xdr:rowOff>
    </xdr:from>
    <xdr:to>
      <xdr:col>18</xdr:col>
      <xdr:colOff>386903</xdr:colOff>
      <xdr:row>39</xdr:row>
      <xdr:rowOff>326267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7F10F51-AF9B-9366-0BCD-06E186833C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61719</xdr:colOff>
      <xdr:row>24</xdr:row>
      <xdr:rowOff>98572</xdr:rowOff>
    </xdr:from>
    <xdr:to>
      <xdr:col>34</xdr:col>
      <xdr:colOff>456891</xdr:colOff>
      <xdr:row>36</xdr:row>
      <xdr:rowOff>154878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4BF84F8-B874-E48D-2318-8806E8EC6E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TOMA NANDI" refreshedDate="46180.895823495368" createdVersion="8" refreshedVersion="8" minRefreshableVersion="3" recordCount="204" xr:uid="{00000000-000A-0000-FFFF-FFFF00000000}">
  <cacheSource type="worksheet">
    <worksheetSource ref="A1:H205" sheet="Daily Sales"/>
  </cacheSource>
  <cacheFields count="8">
    <cacheField name="#" numFmtId="0">
      <sharedItems containsSemiMixedTypes="0" containsString="0" containsNumber="1" containsInteger="1" minValue="1" maxValue="204"/>
    </cacheField>
    <cacheField name="Order No." numFmtId="0">
      <sharedItems/>
    </cacheField>
    <cacheField name="Product Name" numFmtId="0">
      <sharedItems/>
    </cacheField>
    <cacheField name="Category" numFmtId="0">
      <sharedItems count="4">
        <s v="Earrings"/>
        <s v="Bracelets"/>
        <s v="Neckpieces"/>
        <s v="Rings"/>
      </sharedItems>
    </cacheField>
    <cacheField name="Date (DD-MM-YYYY)" numFmtId="0">
      <sharedItems/>
    </cacheField>
    <cacheField name="Qty" numFmtId="0">
      <sharedItems containsSemiMixedTypes="0" containsString="0" containsNumber="1" containsInteger="1" minValue="1" maxValue="8"/>
    </cacheField>
    <cacheField name="Unit Price (₹)" numFmtId="164">
      <sharedItems containsSemiMixedTypes="0" containsString="0" containsNumber="1" containsInteger="1" minValue="50" maxValue="550"/>
    </cacheField>
    <cacheField name="Line Total (₹)" numFmtId="164">
      <sharedItems containsSemiMixedTypes="0" containsString="0" containsNumber="1" containsInteger="1" minValue="50" maxValue="14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TOMA NANDI" refreshedDate="46188.913274768522" createdVersion="8" refreshedVersion="8" minRefreshableVersion="3" recordCount="0" xr:uid="{00000000-000A-0000-FFFF-FFFF01000000}">
  <cacheSource type="worksheet">
    <worksheetSource ref="A1:I205" sheet="Daily Sales"/>
  </cacheSource>
  <cacheFields count="9">
    <cacheField name="#" numFmtId="0">
      <sharedItems containsSemiMixedTypes="0" containsString="0" containsNumber="1" containsInteger="1" minValue="1" maxValue="204"/>
    </cacheField>
    <cacheField name="Order No." numFmtId="0">
      <sharedItems count="100">
        <s v="ORD001"/>
        <s v="ORD002"/>
        <s v="ORD003"/>
        <s v="ORD004"/>
        <s v="ORD005"/>
        <s v="ORD006"/>
        <s v="ORD007"/>
        <s v="ORD008"/>
        <s v="ORD009"/>
        <s v="ORD010"/>
        <s v="ORD011"/>
        <s v="ORD012"/>
        <s v="ORD013"/>
        <s v="ORD014"/>
        <s v="ORD015"/>
        <s v="ORD016"/>
        <s v="ORD017"/>
        <s v="ORD018"/>
        <s v="ORD019"/>
        <s v="ORD020"/>
        <s v="ORD021"/>
        <s v="ORD022"/>
        <s v="ORD023"/>
        <s v="ORD024"/>
        <s v="ORD025"/>
        <s v="ORD026"/>
        <s v="ORD027"/>
        <s v="ORD028"/>
        <s v="ORD029"/>
        <s v="ORD030"/>
        <s v="ORD031"/>
        <s v="ORD032"/>
        <s v="ORD033"/>
        <s v="ORD034"/>
        <s v="ORD035"/>
        <s v="ORD036"/>
        <s v="ORD037"/>
        <s v="ORD038"/>
        <s v="ORD039"/>
        <s v="ORD040"/>
        <s v="ORD041"/>
        <s v="ORD042"/>
        <s v="ORD043"/>
        <s v="ORD044"/>
        <s v="ORD045"/>
        <s v="ORD046"/>
        <s v="ORD047"/>
        <s v="ORD048"/>
        <s v="ORD049"/>
        <s v="ORD050"/>
        <s v="ORD051"/>
        <s v="ORD052"/>
        <s v="ORD053"/>
        <s v="ORD054"/>
        <s v="ORD055"/>
        <s v="ORD056"/>
        <s v="ORD057"/>
        <s v="ORD058"/>
        <s v="ORD059"/>
        <s v="ORD060"/>
        <s v="ORD061"/>
        <s v="ORD062"/>
        <s v="ORD063"/>
        <s v="ORD064"/>
        <s v="ORD065"/>
        <s v="ORD066"/>
        <s v="ORD067"/>
        <s v="ORD068"/>
        <s v="ORD069"/>
        <s v="ORD070"/>
        <s v="ORD071"/>
        <s v="ORD072"/>
        <s v="ORD073"/>
        <s v="ORD074"/>
        <s v="ORD075"/>
        <s v="ORD076"/>
        <s v="ORD077"/>
        <s v="ORD078"/>
        <s v="ORD079"/>
        <s v="ORD080"/>
        <s v="ORD081"/>
        <s v="ORD082"/>
        <s v="ORD083"/>
        <s v="ORD084"/>
        <s v="ORD085"/>
        <s v="ORD086"/>
        <s v="ORD087"/>
        <s v="ORD088"/>
        <s v="ORD089"/>
        <s v="ORD090"/>
        <s v="ORD091"/>
        <s v="ORD092"/>
        <s v="ORD093"/>
        <s v="ORD094"/>
        <s v="ORD095"/>
        <s v="ORD096"/>
        <s v="ORD097"/>
        <s v="ORD098"/>
        <s v="ORD099"/>
        <s v="ORD100"/>
      </sharedItems>
    </cacheField>
    <cacheField name="Product Name" numFmtId="0">
      <sharedItems/>
    </cacheField>
    <cacheField name="Category" numFmtId="0">
      <sharedItems/>
    </cacheField>
    <cacheField name="Date (DD-MM-YYYY)" numFmtId="0">
      <sharedItems/>
    </cacheField>
    <cacheField name="Qty" numFmtId="0">
      <sharedItems containsSemiMixedTypes="0" containsString="0" containsNumber="1" containsInteger="1" minValue="1" maxValue="8"/>
    </cacheField>
    <cacheField name="Unit Price (₹)" numFmtId="164">
      <sharedItems containsSemiMixedTypes="0" containsString="0" containsNumber="1" containsInteger="1" minValue="50" maxValue="550"/>
    </cacheField>
    <cacheField name="Line Total (₹)" numFmtId="164">
      <sharedItems containsSemiMixedTypes="0" containsString="0" containsNumber="1" containsInteger="1" minValue="50" maxValue="1400"/>
    </cacheField>
    <cacheField name="Month" numFmtId="164">
      <sharedItems count="3">
        <s v="Mar"/>
        <s v="Apr"/>
        <s v="Ma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TOMA NANDI" refreshedDate="46231.490515277779" createdVersion="8" refreshedVersion="8" minRefreshableVersion="3" recordCount="204" xr:uid="{8489115D-391F-47C4-87A4-ABA605E58780}">
  <cacheSource type="worksheet">
    <worksheetSource ref="F1:G205" sheet="Daily Sales"/>
  </cacheSource>
  <cacheFields count="2">
    <cacheField name="Qty" numFmtId="0">
      <sharedItems containsSemiMixedTypes="0" containsString="0" containsNumber="1" containsInteger="1" minValue="1" maxValue="8"/>
    </cacheField>
    <cacheField name="Unit Price (₹)" numFmtId="164">
      <sharedItems containsSemiMixedTypes="0" containsString="0" containsNumber="1" containsInteger="1" minValue="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OMA NANDI" refreshedDate="46247.890933333336" backgroundQuery="1" createdVersion="8" refreshedVersion="8" minRefreshableVersion="3" recordCount="0" supportSubquery="1" supportAdvancedDrill="1" xr:uid="{EA9D6DD3-333C-4E3E-8F22-E4B71D28D35E}">
  <cacheSource type="external" connectionId="1"/>
  <cacheFields count="2">
    <cacheField name="[Range].[Category].[Category]" caption="Category" numFmtId="0" hierarchy="3" level="1">
      <sharedItems count="4">
        <s v="Bracelets"/>
        <s v="Earrings"/>
        <s v="Neckpieces"/>
        <s v="Rings"/>
      </sharedItems>
    </cacheField>
    <cacheField name="[Measures].[Sum of Qty]" caption="Sum of Qty" numFmtId="0" hierarchy="13" level="32767"/>
  </cacheFields>
  <cacheHierarchies count="15">
    <cacheHierarchy uniqueName="[Range].[#]" caption="#" attribute="1" defaultMemberUniqueName="[Range].[#].[All]" allUniqueName="[Range].[#].[All]" dimensionUniqueName="[Range]" displayFolder="" count="0" memberValueDatatype="20" unbalanced="0"/>
    <cacheHierarchy uniqueName="[Range].[Order No.]" caption="Order No." attribute="1" defaultMemberUniqueName="[Range].[Order No.].[All]" allUniqueName="[Range].[Order No.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2" memberValueDatatype="130" unbalanced="0">
      <fieldsUsage count="2">
        <fieldUsage x="-1"/>
        <fieldUsage x="0"/>
      </fieldsUsage>
    </cacheHierarchy>
    <cacheHierarchy uniqueName="[Range].[Date (DD-MM-YYYY)]" caption="Date (DD-MM-YYYY)" attribute="1" defaultMemberUniqueName="[Range].[Date (DD-MM-YYYY)].[All]" allUniqueName="[Range].[Date (DD-MM-YYYY)].[All]" dimensionUniqueName="[Range]" displayFolder="" count="0" memberValueDatatype="130" unbalanced="0"/>
    <cacheHierarchy uniqueName="[Range].[Qty]" caption="Qty" attribute="1" defaultMemberUniqueName="[Range].[Qty].[All]" allUniqueName="[Range].[Qty].[All]" dimensionUniqueName="[Range]" displayFolder="" count="0" memberValueDatatype="20" unbalanced="0"/>
    <cacheHierarchy uniqueName="[Range].[Unit Price (₹)]" caption="Unit Price (₹)" attribute="1" defaultMemberUniqueName="[Range].[Unit Price (₹)].[All]" allUniqueName="[Range].[Unit Price (₹)].[All]" dimensionUniqueName="[Range]" displayFolder="" count="0" memberValueDatatype="20" unbalanced="0"/>
    <cacheHierarchy uniqueName="[Range].[Line Total (₹)]" caption="Line Total (₹)" attribute="1" defaultMemberUniqueName="[Range].[Line Total (₹)].[All]" allUniqueName="[Range].[Line Total (₹)].[All]" dimensionUniqueName="[Range]" displayFolder="" count="0" memberValueDatatype="20" unbalanced="0"/>
    <cacheHierarchy uniqueName="[Range].[Month]" caption="Month" attribute="1" defaultMemberUniqueName="[Range].[Month].[All]" allUniqueName="[Range].[Month].[All]" dimensionUniqueName="[Range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Count of Order No.]" caption="Count of Order No.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Distinct Count of Order No.]" caption="Distinct Count of Order No.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Qty]" caption="Sum of Qty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Line Total (₹)]" caption="Sum of Line Total (₹)" measure="1" displayFolder="" measureGroup="Rang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OMA NANDI" refreshedDate="46247.876889467596" backgroundQuery="1" createdVersion="8" refreshedVersion="8" minRefreshableVersion="3" recordCount="0" supportSubquery="1" supportAdvancedDrill="1" xr:uid="{B30FC1B9-07F3-414D-9F5A-D46874A3220A}">
  <cacheSource type="external" connectionId="1"/>
  <cacheFields count="2">
    <cacheField name="[Range].[Month].[Month]" caption="Month" numFmtId="0" hierarchy="8" level="1">
      <sharedItems count="3">
        <s v="Apr"/>
        <s v="Mar"/>
        <s v="May"/>
      </sharedItems>
    </cacheField>
    <cacheField name="[Measures].[Distinct Count of Order No.]" caption="Distinct Count of Order No." numFmtId="0" hierarchy="12" level="32767"/>
  </cacheFields>
  <cacheHierarchies count="15">
    <cacheHierarchy uniqueName="[Range].[#]" caption="#" attribute="1" defaultMemberUniqueName="[Range].[#].[All]" allUniqueName="[Range].[#].[All]" dimensionUniqueName="[Range]" displayFolder="" count="0" memberValueDatatype="20" unbalanced="0"/>
    <cacheHierarchy uniqueName="[Range].[Order No.]" caption="Order No." attribute="1" defaultMemberUniqueName="[Range].[Order No.].[All]" allUniqueName="[Range].[Order No.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Date (DD-MM-YYYY)]" caption="Date (DD-MM-YYYY)" attribute="1" defaultMemberUniqueName="[Range].[Date (DD-MM-YYYY)].[All]" allUniqueName="[Range].[Date (DD-MM-YYYY)].[All]" dimensionUniqueName="[Range]" displayFolder="" count="0" memberValueDatatype="130" unbalanced="0"/>
    <cacheHierarchy uniqueName="[Range].[Qty]" caption="Qty" attribute="1" defaultMemberUniqueName="[Range].[Qty].[All]" allUniqueName="[Range].[Qty].[All]" dimensionUniqueName="[Range]" displayFolder="" count="0" memberValueDatatype="20" unbalanced="0"/>
    <cacheHierarchy uniqueName="[Range].[Unit Price (₹)]" caption="Unit Price (₹)" attribute="1" defaultMemberUniqueName="[Range].[Unit Price (₹)].[All]" allUniqueName="[Range].[Unit Price (₹)].[All]" dimensionUniqueName="[Range]" displayFolder="" count="0" memberValueDatatype="20" unbalanced="0"/>
    <cacheHierarchy uniqueName="[Range].[Line Total (₹)]" caption="Line Total (₹)" attribute="1" defaultMemberUniqueName="[Range].[Line Total (₹)].[All]" allUniqueName="[Range].[Line Total (₹)].[All]" dimensionUniqueName="[Range]" displayFolder="" count="0" memberValueDatatype="20" unbalanced="0"/>
    <cacheHierarchy uniqueName="[Range].[Month]" caption="Month" attribute="1" defaultMemberUniqueName="[Range].[Month].[All]" allUniqueName="[Range].[Month].[All]" dimensionUniqueName="[Range]" displayFolder="" count="2" memberValueDatatype="130" unbalanced="0">
      <fieldsUsage count="2">
        <fieldUsage x="-1"/>
        <fieldUsage x="0"/>
      </fieldsUsage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Count of Order No.]" caption="Count of Order No.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Distinct Count of Order No.]" caption="Distinct Count of Order No.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Qty]" caption="Sum of Qty" measure="1" displayFolder="" measureGroup="Rang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Line Total (₹)]" caption="Sum of Line Total (₹)" measure="1" displayFolder="" measureGroup="Rang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OMA NANDI" refreshedDate="46247.898415856478" backgroundQuery="1" createdVersion="8" refreshedVersion="8" minRefreshableVersion="3" recordCount="0" supportSubquery="1" supportAdvancedDrill="1" xr:uid="{98431781-4AC1-45D4-ACD1-BA86947E63B7}">
  <cacheSource type="external" connectionId="1"/>
  <cacheFields count="3">
    <cacheField name="[Range].[Category].[Category]" caption="Category" numFmtId="0" hierarchy="3" level="1">
      <sharedItems count="4">
        <s v="Bracelets"/>
        <s v="Earrings"/>
        <s v="Neckpieces"/>
        <s v="Rings"/>
      </sharedItems>
    </cacheField>
    <cacheField name="[Range].[Month].[Month]" caption="Month" numFmtId="0" hierarchy="8" level="1">
      <sharedItems count="3">
        <s v="Apr"/>
        <s v="Mar"/>
        <s v="May"/>
      </sharedItems>
    </cacheField>
    <cacheField name="[Measures].[Sum of Line Total (₹)]" caption="Sum of Line Total (₹)" numFmtId="0" hierarchy="14" level="32767"/>
  </cacheFields>
  <cacheHierarchies count="15">
    <cacheHierarchy uniqueName="[Range].[#]" caption="#" attribute="1" defaultMemberUniqueName="[Range].[#].[All]" allUniqueName="[Range].[#].[All]" dimensionUniqueName="[Range]" displayFolder="" count="0" memberValueDatatype="20" unbalanced="0"/>
    <cacheHierarchy uniqueName="[Range].[Order No.]" caption="Order No." attribute="1" defaultMemberUniqueName="[Range].[Order No.].[All]" allUniqueName="[Range].[Order No.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2" memberValueDatatype="130" unbalanced="0">
      <fieldsUsage count="2">
        <fieldUsage x="-1"/>
        <fieldUsage x="0"/>
      </fieldsUsage>
    </cacheHierarchy>
    <cacheHierarchy uniqueName="[Range].[Date (DD-MM-YYYY)]" caption="Date (DD-MM-YYYY)" attribute="1" defaultMemberUniqueName="[Range].[Date (DD-MM-YYYY)].[All]" allUniqueName="[Range].[Date (DD-MM-YYYY)].[All]" dimensionUniqueName="[Range]" displayFolder="" count="0" memberValueDatatype="130" unbalanced="0"/>
    <cacheHierarchy uniqueName="[Range].[Qty]" caption="Qty" attribute="1" defaultMemberUniqueName="[Range].[Qty].[All]" allUniqueName="[Range].[Qty].[All]" dimensionUniqueName="[Range]" displayFolder="" count="0" memberValueDatatype="20" unbalanced="0"/>
    <cacheHierarchy uniqueName="[Range].[Unit Price (₹)]" caption="Unit Price (₹)" attribute="1" defaultMemberUniqueName="[Range].[Unit Price (₹)].[All]" allUniqueName="[Range].[Unit Price (₹)].[All]" dimensionUniqueName="[Range]" displayFolder="" count="0" memberValueDatatype="20" unbalanced="0"/>
    <cacheHierarchy uniqueName="[Range].[Line Total (₹)]" caption="Line Total (₹)" attribute="1" defaultMemberUniqueName="[Range].[Line Total (₹)].[All]" allUniqueName="[Range].[Line Total (₹)].[All]" dimensionUniqueName="[Range]" displayFolder="" count="0" memberValueDatatype="20" unbalanced="0"/>
    <cacheHierarchy uniqueName="[Range].[Month]" caption="Month" attribute="1" defaultMemberUniqueName="[Range].[Month].[All]" allUniqueName="[Range].[Month].[All]" dimensionUniqueName="[Range]" displayFolder="" count="2" memberValueDatatype="130" unbalanced="0">
      <fieldsUsage count="2">
        <fieldUsage x="-1"/>
        <fieldUsage x="1"/>
      </fieldsUsage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Count of Order No.]" caption="Count of Order No.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Distinct Count of Order No.]" caption="Distinct Count of Order No." measure="1" displayFolder="" measureGroup="Range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Qty]" caption="Sum of Qty" measure="1" displayFolder="" measureGroup="Rang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Line Total (₹)]" caption="Sum of Line Total (₹)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4">
  <r>
    <n v="1"/>
    <s v="ORD001"/>
    <s v="Daily Glow Anti-Tarnish Earrings"/>
    <x v="0"/>
    <s v="01-03-2026"/>
    <n v="1"/>
    <n v="175"/>
    <n v="175"/>
  </r>
  <r>
    <n v="2"/>
    <s v="ORD001"/>
    <s v="Anti-Tarnish Artistry Dots"/>
    <x v="0"/>
    <s v="01-03-2026"/>
    <n v="1"/>
    <n v="249"/>
    <n v="249"/>
  </r>
  <r>
    <n v="3"/>
    <s v="ORD002"/>
    <s v="Aurel Anti-Tarnish Bangles"/>
    <x v="1"/>
    <s v="02-03-2026"/>
    <n v="1"/>
    <n v="399"/>
    <n v="399"/>
  </r>
  <r>
    <n v="4"/>
    <s v="ORD003"/>
    <s v="Orchid Bloom Anti-Tarnish Bangle"/>
    <x v="1"/>
    <s v="04-03-2026"/>
    <n v="1"/>
    <n v="399"/>
    <n v="399"/>
  </r>
  <r>
    <n v="5"/>
    <s v="ORD003"/>
    <s v="Vanki Glow Star Studs"/>
    <x v="0"/>
    <s v="04-03-2026"/>
    <n v="3"/>
    <n v="175"/>
    <n v="525"/>
  </r>
  <r>
    <n v="6"/>
    <s v="ORD003"/>
    <s v="Trivara Anti-tarnish Earrings"/>
    <x v="0"/>
    <s v="04-03-2026"/>
    <n v="1"/>
    <n v="299"/>
    <n v="299"/>
  </r>
  <r>
    <n v="7"/>
    <s v="ORD004"/>
    <s v="Anti-Tarnish Artistry Dots"/>
    <x v="0"/>
    <s v="05-03-2026"/>
    <n v="1"/>
    <n v="249"/>
    <n v="249"/>
  </r>
  <r>
    <n v="8"/>
    <s v="ORD004"/>
    <s v="Vanki Tide Spark Tarnish proof Studs"/>
    <x v="0"/>
    <s v="05-03-2026"/>
    <n v="1"/>
    <n v="125"/>
    <n v="125"/>
  </r>
  <r>
    <n v="9"/>
    <s v="ORD005"/>
    <s v="Luminous Delight Anti-Tarnish Bangles"/>
    <x v="1"/>
    <s v="06-03-2026"/>
    <n v="1"/>
    <n v="249"/>
    <n v="249"/>
  </r>
  <r>
    <n v="10"/>
    <s v="ORD006"/>
    <s v="Vanki Tide Spark Tarnish proof Studs"/>
    <x v="0"/>
    <s v="07-03-2026"/>
    <n v="1"/>
    <n v="125"/>
    <n v="125"/>
  </r>
  <r>
    <n v="11"/>
    <s v="ORD007"/>
    <s v="Shine Shield Anti-Tarnish Bangle"/>
    <x v="1"/>
    <s v="09-03-2026"/>
    <n v="1"/>
    <n v="449"/>
    <n v="449"/>
  </r>
  <r>
    <n v="12"/>
    <s v="ORD007"/>
    <s v="Golden Monarch Anti-Tarnish Bangle"/>
    <x v="1"/>
    <s v="09-03-2026"/>
    <n v="1"/>
    <n v="299"/>
    <n v="299"/>
  </r>
  <r>
    <n v="13"/>
    <s v="ORD007"/>
    <s v="Daily Glow Anti-Tarnish Earrings"/>
    <x v="0"/>
    <s v="09-03-2026"/>
    <n v="1"/>
    <n v="175"/>
    <n v="175"/>
  </r>
  <r>
    <n v="14"/>
    <s v="ORD008"/>
    <s v="Glow fly Anti-Tarnish Stud"/>
    <x v="0"/>
    <s v="11-03-2026"/>
    <n v="1"/>
    <n v="99"/>
    <n v="99"/>
  </r>
  <r>
    <n v="15"/>
    <s v="ORD008"/>
    <s v="Shine Aura Non-Tarnish Bangle"/>
    <x v="1"/>
    <s v="11-03-2026"/>
    <n v="1"/>
    <n v="249"/>
    <n v="249"/>
  </r>
  <r>
    <n v="16"/>
    <s v="ORD008"/>
    <s v="Starlit Anti-Tarnish Huggie Earrings"/>
    <x v="0"/>
    <s v="11-03-2026"/>
    <n v="1"/>
    <n v="299"/>
    <n v="299"/>
  </r>
  <r>
    <n v="17"/>
    <s v="ORD009"/>
    <s v="Lume Wear Non-Tarnish Bangle"/>
    <x v="1"/>
    <s v="13-03-2026"/>
    <n v="1"/>
    <n v="349"/>
    <n v="349"/>
  </r>
  <r>
    <n v="18"/>
    <s v="ORD010"/>
    <s v="Celestial Trinity Non Tarnish Chain Pendant"/>
    <x v="2"/>
    <s v="15-03-2026"/>
    <n v="1"/>
    <n v="175"/>
    <n v="175"/>
  </r>
  <r>
    <n v="19"/>
    <s v="ORD010"/>
    <s v="Vanki Tide Spark Tarnish proof Studs"/>
    <x v="0"/>
    <s v="15-03-2026"/>
    <n v="1"/>
    <n v="125"/>
    <n v="125"/>
  </r>
  <r>
    <n v="20"/>
    <s v="ORD010"/>
    <s v="Honey Pop Anti-Tarnish Earrings"/>
    <x v="0"/>
    <s v="15-03-2026"/>
    <n v="1"/>
    <n v="120"/>
    <n v="120"/>
  </r>
  <r>
    <n v="21"/>
    <s v="ORD011"/>
    <s v="Non-Tarnish Perma Shine Bangle"/>
    <x v="1"/>
    <s v="16-03-2026"/>
    <n v="1"/>
    <n v="249"/>
    <n v="249"/>
  </r>
  <r>
    <n v="22"/>
    <s v="ORD011"/>
    <s v="Zenith Spark Anti-Tarnish Earrings"/>
    <x v="0"/>
    <s v="16-03-2026"/>
    <n v="1"/>
    <n v="175"/>
    <n v="175"/>
  </r>
  <r>
    <n v="23"/>
    <s v="ORD012"/>
    <s v="Honey Pop Anti-Tarnish Earrings"/>
    <x v="0"/>
    <s v="17-03-2026"/>
    <n v="1"/>
    <n v="120"/>
    <n v="120"/>
  </r>
  <r>
    <n v="24"/>
    <s v="ORD012"/>
    <s v="Aurel Anti-Tarnish Bangles"/>
    <x v="1"/>
    <s v="17-03-2026"/>
    <n v="1"/>
    <n v="399"/>
    <n v="399"/>
  </r>
  <r>
    <n v="25"/>
    <s v="ORD013"/>
    <s v="Glow fly Anti-Tarnish Stud"/>
    <x v="0"/>
    <s v="18-03-2026"/>
    <n v="2"/>
    <n v="99"/>
    <n v="198"/>
  </r>
  <r>
    <n v="26"/>
    <s v="ORD014"/>
    <s v="Daily Glow Anti-Tarnish Earrings"/>
    <x v="0"/>
    <s v="20-03-2026"/>
    <n v="1"/>
    <n v="175"/>
    <n v="175"/>
  </r>
  <r>
    <n v="27"/>
    <s v="ORD014"/>
    <s v="Luminous Delight Anti-Tarnish Bangles"/>
    <x v="1"/>
    <s v="20-03-2026"/>
    <n v="1"/>
    <n v="249"/>
    <n v="249"/>
  </r>
  <r>
    <n v="28"/>
    <s v="ORD014"/>
    <s v="Celestial Trinity Non Tarnish Chain Pendant"/>
    <x v="2"/>
    <s v="20-03-2026"/>
    <n v="1"/>
    <n v="175"/>
    <n v="175"/>
  </r>
  <r>
    <n v="29"/>
    <s v="ORD015"/>
    <s v="Starlit Anti-Tarnish Huggie Earrings"/>
    <x v="0"/>
    <s v="21-03-2026"/>
    <n v="1"/>
    <n v="299"/>
    <n v="299"/>
  </r>
  <r>
    <n v="30"/>
    <s v="ORD015"/>
    <s v="Glow fly Anti-Tarnish Stud"/>
    <x v="0"/>
    <s v="21-03-2026"/>
    <n v="1"/>
    <n v="99"/>
    <n v="99"/>
  </r>
  <r>
    <n v="31"/>
    <s v="ORD016"/>
    <s v="Shine Shield Anti-Tarnish Bangle"/>
    <x v="1"/>
    <s v="22-03-2026"/>
    <n v="1"/>
    <n v="449"/>
    <n v="449"/>
  </r>
  <r>
    <n v="32"/>
    <s v="ORD017"/>
    <s v="Vanki Glow Star Studs"/>
    <x v="0"/>
    <s v="23-03-2026"/>
    <n v="2"/>
    <n v="175"/>
    <n v="350"/>
  </r>
  <r>
    <n v="33"/>
    <s v="ORD017"/>
    <s v="Orchid Bloom Anti-Tarnish Bangle"/>
    <x v="1"/>
    <s v="23-03-2026"/>
    <n v="1"/>
    <n v="399"/>
    <n v="399"/>
  </r>
  <r>
    <n v="34"/>
    <s v="ORD017"/>
    <s v="Zenith Spark Anti-Tarnish Earrings"/>
    <x v="0"/>
    <s v="23-03-2026"/>
    <n v="1"/>
    <n v="175"/>
    <n v="175"/>
  </r>
  <r>
    <n v="35"/>
    <s v="ORD018"/>
    <s v="Lume Wear Non-Tarnish Bangle"/>
    <x v="1"/>
    <s v="24-03-2026"/>
    <n v="1"/>
    <n v="349"/>
    <n v="349"/>
  </r>
  <r>
    <n v="36"/>
    <s v="ORD018"/>
    <s v="Honey Pop Anti-Tarnish Earrings"/>
    <x v="0"/>
    <s v="24-03-2026"/>
    <n v="1"/>
    <n v="120"/>
    <n v="120"/>
  </r>
  <r>
    <n v="37"/>
    <s v="ORD019"/>
    <s v="Celestial Trinity Non Tarnish Chain Pendant"/>
    <x v="2"/>
    <s v="26-03-2026"/>
    <n v="1"/>
    <n v="175"/>
    <n v="175"/>
  </r>
  <r>
    <n v="38"/>
    <s v="ORD020"/>
    <s v="Golden Monarch Anti-Tarnish Bangle"/>
    <x v="1"/>
    <s v="27-03-2026"/>
    <n v="1"/>
    <n v="299"/>
    <n v="299"/>
  </r>
  <r>
    <n v="39"/>
    <s v="ORD020"/>
    <s v="Trivara Anti-tarnish Earrings"/>
    <x v="0"/>
    <s v="27-03-2026"/>
    <n v="1"/>
    <n v="299"/>
    <n v="299"/>
  </r>
  <r>
    <n v="40"/>
    <s v="ORD020"/>
    <s v="Glow fly Anti-Tarnish Stud"/>
    <x v="0"/>
    <s v="27-03-2026"/>
    <n v="1"/>
    <n v="99"/>
    <n v="99"/>
  </r>
  <r>
    <n v="41"/>
    <s v="ORD021"/>
    <s v="Anti-Tarnish Artistry Dots"/>
    <x v="0"/>
    <s v="29-03-2026"/>
    <n v="1"/>
    <n v="249"/>
    <n v="249"/>
  </r>
  <r>
    <n v="42"/>
    <s v="ORD021"/>
    <s v="Shine Aura Non-Tarnish Bangle"/>
    <x v="1"/>
    <s v="29-03-2026"/>
    <n v="1"/>
    <n v="249"/>
    <n v="249"/>
  </r>
  <r>
    <n v="43"/>
    <s v="ORD022"/>
    <s v="Luna Spark Anti-Tarnish Ring"/>
    <x v="3"/>
    <s v="30-03-2026"/>
    <n v="1"/>
    <n v="199"/>
    <n v="199"/>
  </r>
  <r>
    <n v="44"/>
    <s v="ORD022"/>
    <s v="Daily Glow Anti-Tarnish Earrings"/>
    <x v="0"/>
    <s v="30-03-2026"/>
    <n v="1"/>
    <n v="175"/>
    <n v="175"/>
  </r>
  <r>
    <n v="45"/>
    <s v="ORD023"/>
    <s v="Royal Bloom Adjustable Ring"/>
    <x v="3"/>
    <s v="31-03-2026"/>
    <n v="1"/>
    <n v="249"/>
    <n v="249"/>
  </r>
  <r>
    <n v="46"/>
    <s v="ORD024"/>
    <s v="Golden Monarch Anti-Tarnish Bangle"/>
    <x v="1"/>
    <s v="01-04-2026"/>
    <n v="1"/>
    <n v="299"/>
    <n v="299"/>
  </r>
  <r>
    <n v="47"/>
    <s v="ORD024"/>
    <s v="Honey Pop Anti-Tarnish Earrings"/>
    <x v="0"/>
    <s v="01-04-2026"/>
    <n v="1"/>
    <n v="120"/>
    <n v="120"/>
  </r>
  <r>
    <n v="48"/>
    <s v="ORD024"/>
    <s v="Crystal Charm Ring"/>
    <x v="3"/>
    <s v="01-04-2026"/>
    <n v="1"/>
    <n v="225"/>
    <n v="225"/>
  </r>
  <r>
    <n v="49"/>
    <s v="ORD025"/>
    <s v="Vanki Glow Star Studs"/>
    <x v="0"/>
    <s v="02-04-2026"/>
    <n v="2"/>
    <n v="175"/>
    <n v="350"/>
  </r>
  <r>
    <n v="50"/>
    <s v="ORD025"/>
    <s v="Luna Spark Anti-Tarnish Ring"/>
    <x v="3"/>
    <s v="02-04-2026"/>
    <n v="1"/>
    <n v="199"/>
    <n v="199"/>
  </r>
  <r>
    <n v="51"/>
    <s v="ORD026"/>
    <s v="Eternal Shine Ring"/>
    <x v="3"/>
    <s v="03-04-2026"/>
    <n v="1"/>
    <n v="279"/>
    <n v="279"/>
  </r>
  <r>
    <n v="52"/>
    <s v="ORD027"/>
    <s v="Orchid Bloom Anti-Tarnish Bangle"/>
    <x v="1"/>
    <s v="04-04-2026"/>
    <n v="1"/>
    <n v="399"/>
    <n v="399"/>
  </r>
  <r>
    <n v="53"/>
    <s v="ORD027"/>
    <s v="Glow fly Anti-Tarnish Stud"/>
    <x v="0"/>
    <s v="04-04-2026"/>
    <n v="1"/>
    <n v="99"/>
    <n v="99"/>
  </r>
  <r>
    <n v="54"/>
    <s v="ORD027"/>
    <s v="Crystal Charm Ring"/>
    <x v="3"/>
    <s v="04-04-2026"/>
    <n v="1"/>
    <n v="225"/>
    <n v="225"/>
  </r>
  <r>
    <n v="55"/>
    <s v="ORD028"/>
    <s v="Starlit Anti-Tarnish Huggie Earrings"/>
    <x v="0"/>
    <s v="05-04-2026"/>
    <n v="1"/>
    <n v="299"/>
    <n v="299"/>
  </r>
  <r>
    <n v="56"/>
    <s v="ORD028"/>
    <s v="Royal Bloom Adjustable Ring"/>
    <x v="3"/>
    <s v="05-04-2026"/>
    <n v="1"/>
    <n v="249"/>
    <n v="249"/>
  </r>
  <r>
    <n v="57"/>
    <s v="ORD029"/>
    <s v="Luna Spark Anti-Tarnish Ring"/>
    <x v="3"/>
    <s v="06-04-2026"/>
    <n v="2"/>
    <n v="199"/>
    <n v="398"/>
  </r>
  <r>
    <n v="58"/>
    <s v="ORD030"/>
    <s v="Shine Shield Anti-Tarnish Bangle"/>
    <x v="1"/>
    <s v="07-04-2026"/>
    <n v="1"/>
    <n v="449"/>
    <n v="449"/>
  </r>
  <r>
    <n v="59"/>
    <s v="ORD030"/>
    <s v="Zenith Spark Anti-Tarnish Earrings"/>
    <x v="0"/>
    <s v="07-04-2026"/>
    <n v="1"/>
    <n v="175"/>
    <n v="175"/>
  </r>
  <r>
    <n v="60"/>
    <s v="ORD030"/>
    <s v="Eternal Shine Ring"/>
    <x v="3"/>
    <s v="07-04-2026"/>
    <n v="1"/>
    <n v="279"/>
    <n v="279"/>
  </r>
  <r>
    <n v="61"/>
    <s v="ORD031"/>
    <s v="Celestial Trinity Non Tarnish Chain Pendant"/>
    <x v="2"/>
    <s v="08-04-2026"/>
    <n v="1"/>
    <n v="175"/>
    <n v="175"/>
  </r>
  <r>
    <n v="62"/>
    <s v="ORD031"/>
    <s v="Crystal Charm Ring"/>
    <x v="3"/>
    <s v="08-04-2026"/>
    <n v="1"/>
    <n v="225"/>
    <n v="225"/>
  </r>
  <r>
    <n v="63"/>
    <s v="ORD032"/>
    <s v="Non-Tarnish Eterna Band"/>
    <x v="1"/>
    <s v="09-04-2026"/>
    <n v="1"/>
    <n v="249"/>
    <n v="249"/>
  </r>
  <r>
    <n v="64"/>
    <s v="ORD032"/>
    <s v="Lume Wear Non-Tarnish Bangle"/>
    <x v="1"/>
    <s v="09-04-2026"/>
    <n v="1"/>
    <n v="349"/>
    <n v="349"/>
  </r>
  <r>
    <n v="65"/>
    <s v="ORD033"/>
    <s v="Vanki Glow Mood Anti-Tarnish Earrings"/>
    <x v="0"/>
    <s v="10-04-2026"/>
    <n v="1"/>
    <n v="350"/>
    <n v="350"/>
  </r>
  <r>
    <n v="66"/>
    <s v="ORD033"/>
    <s v="Vanki Prism Shine Anti-Tarnish Earrings"/>
    <x v="0"/>
    <s v="10-04-2026"/>
    <n v="1"/>
    <n v="275"/>
    <n v="275"/>
  </r>
  <r>
    <n v="67"/>
    <s v="ORD033"/>
    <s v="Vanki Golden Dragonfly Anti-Tarnish Ear Cuff"/>
    <x v="0"/>
    <s v="10-04-2026"/>
    <n v="1"/>
    <n v="299"/>
    <n v="299"/>
  </r>
  <r>
    <n v="68"/>
    <s v="ORD034"/>
    <s v="Shine Aura Non-Tarnish Bangle"/>
    <x v="1"/>
    <s v="11-04-2026"/>
    <n v="1"/>
    <n v="249"/>
    <n v="249"/>
  </r>
  <r>
    <n v="69"/>
    <s v="ORD034"/>
    <s v="Pure Luxe Non-Tarnish Bangle"/>
    <x v="1"/>
    <s v="11-04-2026"/>
    <n v="1"/>
    <n v="349"/>
    <n v="349"/>
  </r>
  <r>
    <n v="70"/>
    <s v="ORD035"/>
    <s v="Glow fly Anti-Tarnish Stud"/>
    <x v="0"/>
    <s v="12-04-2026"/>
    <n v="1"/>
    <n v="99"/>
    <n v="99"/>
  </r>
  <r>
    <n v="71"/>
    <s v="ORD036"/>
    <s v="Non-Tarnish Perma Shine Bangle"/>
    <x v="1"/>
    <s v="13-04-2026"/>
    <n v="1"/>
    <n v="249"/>
    <n v="249"/>
  </r>
  <r>
    <n v="72"/>
    <s v="ORD037"/>
    <s v="Ever Glow Non-Tarnish Bangle"/>
    <x v="1"/>
    <s v="14-04-2026"/>
    <n v="1"/>
    <n v="249"/>
    <n v="249"/>
  </r>
  <r>
    <n v="73"/>
    <s v="ORD037"/>
    <s v="Vanki Tide Spark Tarnish proof Studs"/>
    <x v="0"/>
    <s v="14-04-2026"/>
    <n v="1"/>
    <n v="125"/>
    <n v="125"/>
  </r>
  <r>
    <n v="74"/>
    <s v="ORD037"/>
    <s v="The Tangled Heart - Golden Adjustable Ring"/>
    <x v="3"/>
    <s v="14-04-2026"/>
    <n v="1"/>
    <n v="50"/>
    <n v="50"/>
  </r>
  <r>
    <n v="75"/>
    <s v="ORD038"/>
    <s v="Vanki Twirl Charm Chain Pendant"/>
    <x v="2"/>
    <s v="15-04-2026"/>
    <n v="1"/>
    <n v="199"/>
    <n v="199"/>
  </r>
  <r>
    <n v="76"/>
    <s v="ORD039"/>
    <s v="Lume Wear Non-Tarnish Bangle"/>
    <x v="1"/>
    <s v="16-04-2026"/>
    <n v="1"/>
    <n v="349"/>
    <n v="349"/>
  </r>
  <r>
    <n v="77"/>
    <s v="ORD040"/>
    <s v="Elegance Unbound Anti-Tarnish Bangle"/>
    <x v="1"/>
    <s v="17-04-2026"/>
    <n v="1"/>
    <n v="299"/>
    <n v="299"/>
  </r>
  <r>
    <n v="78"/>
    <s v="ORD040"/>
    <s v="Vanki Spark Anti-Tarnish Earrings"/>
    <x v="0"/>
    <s v="17-04-2026"/>
    <n v="1"/>
    <n v="275"/>
    <n v="275"/>
  </r>
  <r>
    <n v="79"/>
    <s v="ORD040"/>
    <s v="Wings of Fortune Anti-Tarnish Bangle"/>
    <x v="1"/>
    <s v="17-04-2026"/>
    <n v="1"/>
    <n v="199"/>
    <n v="199"/>
  </r>
  <r>
    <n v="80"/>
    <s v="ORD041"/>
    <s v="Vanki Golden Dragonfly Anti-Tarnish Ear Cuff"/>
    <x v="0"/>
    <s v="18-04-2026"/>
    <n v="1"/>
    <n v="299"/>
    <n v="299"/>
  </r>
  <r>
    <n v="81"/>
    <s v="ORD041"/>
    <s v="Anti-Tarnish Infinite Shine Drop"/>
    <x v="0"/>
    <s v="18-04-2026"/>
    <n v="1"/>
    <n v="199"/>
    <n v="199"/>
  </r>
  <r>
    <n v="82"/>
    <s v="ORD041"/>
    <s v="Vanki Radiance Pendant with Pendant set"/>
    <x v="2"/>
    <s v="18-04-2026"/>
    <n v="1"/>
    <n v="199"/>
    <n v="199"/>
  </r>
  <r>
    <n v="83"/>
    <s v="ORD042"/>
    <s v="Pure Luxe Non-Tarnish Bangle"/>
    <x v="1"/>
    <s v="19-04-2026"/>
    <n v="1"/>
    <n v="349"/>
    <n v="349"/>
  </r>
  <r>
    <n v="84"/>
    <s v="ORD042"/>
    <s v="Luna Spark Anti-Tarnish Ring"/>
    <x v="3"/>
    <s v="19-04-2026"/>
    <n v="1"/>
    <n v="199"/>
    <n v="199"/>
  </r>
  <r>
    <n v="85"/>
    <s v="ORD043"/>
    <s v="Vanki Spark Anti-Tarnish Earrings"/>
    <x v="0"/>
    <s v="20-04-2026"/>
    <n v="2"/>
    <n v="275"/>
    <n v="550"/>
  </r>
  <r>
    <n v="86"/>
    <s v="ORD044"/>
    <s v="Ever Glow Non-Tarnish Bangle"/>
    <x v="1"/>
    <s v="21-04-2026"/>
    <n v="1"/>
    <n v="249"/>
    <n v="249"/>
  </r>
  <r>
    <n v="87"/>
    <s v="ORD044"/>
    <s v="Crystal Charm Ring"/>
    <x v="3"/>
    <s v="21-04-2026"/>
    <n v="1"/>
    <n v="225"/>
    <n v="225"/>
  </r>
  <r>
    <n v="88"/>
    <s v="ORD044"/>
    <s v="Honey Pop Anti-Tarnish Earrings"/>
    <x v="0"/>
    <s v="21-04-2026"/>
    <n v="1"/>
    <n v="120"/>
    <n v="120"/>
  </r>
  <r>
    <n v="89"/>
    <s v="ORD045"/>
    <s v="Vanki Twirl Charm Chain Pendant"/>
    <x v="2"/>
    <s v="22-04-2026"/>
    <n v="1"/>
    <n v="199"/>
    <n v="199"/>
  </r>
  <r>
    <n v="90"/>
    <s v="ORD045"/>
    <s v="Glow fly Anti-Tarnish Stud"/>
    <x v="0"/>
    <s v="22-04-2026"/>
    <n v="1"/>
    <n v="99"/>
    <n v="99"/>
  </r>
  <r>
    <n v="91"/>
    <s v="ORD046"/>
    <s v="The Tangled Heart - Golden Adjustable Ring"/>
    <x v="3"/>
    <s v="23-04-2026"/>
    <n v="2"/>
    <n v="50"/>
    <n v="100"/>
  </r>
  <r>
    <n v="92"/>
    <s v="ORD047"/>
    <s v="Wings of Fortune Anti-Tarnish Bangle"/>
    <x v="1"/>
    <s v="24-04-2026"/>
    <n v="1"/>
    <n v="199"/>
    <n v="199"/>
  </r>
  <r>
    <n v="93"/>
    <s v="ORD047"/>
    <s v="Vanki Prism Shine Anti-Tarnish Earrings"/>
    <x v="0"/>
    <s v="24-04-2026"/>
    <n v="1"/>
    <n v="275"/>
    <n v="275"/>
  </r>
  <r>
    <n v="94"/>
    <s v="ORD047"/>
    <s v="Royal Bloom Adjustable Ring"/>
    <x v="3"/>
    <s v="24-04-2026"/>
    <n v="1"/>
    <n v="249"/>
    <n v="249"/>
  </r>
  <r>
    <n v="95"/>
    <s v="ORD048"/>
    <s v="Anti-Tarnish Infinite Shine Drop"/>
    <x v="0"/>
    <s v="25-04-2026"/>
    <n v="1"/>
    <n v="199"/>
    <n v="199"/>
  </r>
  <r>
    <n v="96"/>
    <s v="ORD048"/>
    <s v="Non-Tarnish Eterna Band"/>
    <x v="1"/>
    <s v="25-04-2026"/>
    <n v="1"/>
    <n v="249"/>
    <n v="249"/>
  </r>
  <r>
    <n v="97"/>
    <s v="ORD049"/>
    <s v="Vanki Radiance Pendant with Pendant set"/>
    <x v="2"/>
    <s v="25-04-2026"/>
    <n v="1"/>
    <n v="199"/>
    <n v="199"/>
  </r>
  <r>
    <n v="98"/>
    <s v="ORD049"/>
    <s v="Daily Glow Anti-Tarnish Earrings"/>
    <x v="0"/>
    <s v="25-04-2026"/>
    <n v="1"/>
    <n v="175"/>
    <n v="175"/>
  </r>
  <r>
    <n v="99"/>
    <s v="ORD049"/>
    <s v="Luna Spark Anti-Tarnish Ring"/>
    <x v="3"/>
    <s v="25-04-2026"/>
    <n v="1"/>
    <n v="199"/>
    <n v="199"/>
  </r>
  <r>
    <n v="100"/>
    <s v="ORD050"/>
    <s v="Elegance Unbound Anti-Tarnish Bangle"/>
    <x v="1"/>
    <s v="26-04-2026"/>
    <n v="1"/>
    <n v="299"/>
    <n v="299"/>
  </r>
  <r>
    <n v="101"/>
    <s v="ORD051"/>
    <s v="Vanki Golden Dragonfly Anti-Tarnish Ear Cuff"/>
    <x v="0"/>
    <s v="26-04-2026"/>
    <n v="1"/>
    <n v="299"/>
    <n v="299"/>
  </r>
  <r>
    <n v="102"/>
    <s v="ORD051"/>
    <s v="Eternal Shine Ring"/>
    <x v="3"/>
    <s v="26-04-2026"/>
    <n v="1"/>
    <n v="279"/>
    <n v="279"/>
  </r>
  <r>
    <n v="103"/>
    <s v="ORD052"/>
    <s v="Glow Bar Anti-Tarnish Chain pendant"/>
    <x v="2"/>
    <s v="27-04-2026"/>
    <n v="1"/>
    <n v="275"/>
    <n v="275"/>
  </r>
  <r>
    <n v="104"/>
    <s v="ORD052"/>
    <s v="Candy Knot Anti-Tarnish Studs"/>
    <x v="0"/>
    <s v="27-04-2026"/>
    <n v="1"/>
    <n v="125"/>
    <n v="125"/>
  </r>
  <r>
    <n v="105"/>
    <s v="ORD053"/>
    <s v="Velour Rose Chain Pendant"/>
    <x v="2"/>
    <s v="27-04-2026"/>
    <n v="1"/>
    <n v="250"/>
    <n v="250"/>
  </r>
  <r>
    <n v="106"/>
    <s v="ORD054"/>
    <s v="Vanki Anti-Tarnish Wings Bangles"/>
    <x v="1"/>
    <s v="28-04-2026"/>
    <n v="1"/>
    <n v="349"/>
    <n v="349"/>
  </r>
  <r>
    <n v="107"/>
    <s v="ORD055"/>
    <s v="Golden Dots Anti-Tarnish Bangles"/>
    <x v="1"/>
    <s v="29-04-2026"/>
    <n v="1"/>
    <n v="550"/>
    <n v="550"/>
  </r>
  <r>
    <n v="108"/>
    <s v="ORD055"/>
    <s v="Aurora Loop Anti-Tarnish Bangle"/>
    <x v="1"/>
    <s v="29-04-2026"/>
    <n v="1"/>
    <n v="350"/>
    <n v="350"/>
  </r>
  <r>
    <n v="109"/>
    <s v="ORD055"/>
    <s v="Infinite Shine Vanki Anti-Tarnish Drop Earrings"/>
    <x v="0"/>
    <s v="29-04-2026"/>
    <n v="1"/>
    <n v="175"/>
    <n v="175"/>
  </r>
  <r>
    <n v="110"/>
    <s v="ORD056"/>
    <s v="Lumi Anti-Tarnish Bangles"/>
    <x v="1"/>
    <s v="30-04-2026"/>
    <n v="1"/>
    <n v="349"/>
    <n v="349"/>
  </r>
  <r>
    <n v="111"/>
    <s v="ORD056"/>
    <s v="Candy Knot Anti-Tarnish Studs"/>
    <x v="0"/>
    <s v="30-04-2026"/>
    <n v="1"/>
    <n v="125"/>
    <n v="125"/>
  </r>
  <r>
    <n v="112"/>
    <s v="ORD056"/>
    <s v="Anti-Tarnish Infinite Shine Drop"/>
    <x v="0"/>
    <s v="30-04-2026"/>
    <n v="1"/>
    <n v="199"/>
    <n v="199"/>
  </r>
  <r>
    <n v="113"/>
    <s v="ORD057"/>
    <s v="THE SNOWY LEAVES - EMBELLISHED ROSE GOLD RING"/>
    <x v="3"/>
    <s v="01-05-2026"/>
    <n v="1"/>
    <n v="275"/>
    <n v="275"/>
  </r>
  <r>
    <n v="114"/>
    <s v="ORD057"/>
    <s v="STAINLESS STEEL ANTI-TARNISH GOLDEN RING"/>
    <x v="3"/>
    <s v="01-05-2026"/>
    <n v="1"/>
    <n v="175"/>
    <n v="175"/>
  </r>
  <r>
    <n v="115"/>
    <s v="ORD057"/>
    <s v="Twinkle Babe Anti-Tarnish Studs"/>
    <x v="0"/>
    <s v="01-05-2026"/>
    <n v="1"/>
    <n v="99"/>
    <n v="99"/>
  </r>
  <r>
    <n v="116"/>
    <s v="ORD058"/>
    <s v="Aqua Wave Charm Chain Pendant"/>
    <x v="2"/>
    <s v="01-05-2026"/>
    <n v="1"/>
    <n v="199"/>
    <n v="199"/>
  </r>
  <r>
    <n v="117"/>
    <s v="ORD058"/>
    <s v="Velvet Spark Anti-Tarnish Earrings"/>
    <x v="0"/>
    <s v="01-05-2026"/>
    <n v="1"/>
    <n v="175"/>
    <n v="175"/>
  </r>
  <r>
    <n v="118"/>
    <s v="ORD059"/>
    <s v="Vanki Nova Shine"/>
    <x v="0"/>
    <s v="02-05-2026"/>
    <n v="2"/>
    <n v="175"/>
    <n v="350"/>
  </r>
  <r>
    <n v="119"/>
    <s v="ORD060"/>
    <s v="Zenith Spark Anti-Tarnish Earrings"/>
    <x v="0"/>
    <s v="03-05-2026"/>
    <n v="8"/>
    <n v="175"/>
    <n v="1400"/>
  </r>
  <r>
    <n v="120"/>
    <s v="ORD060"/>
    <s v="Crystal Glow Dots Anti-Tarnish Earrings"/>
    <x v="0"/>
    <s v="03-05-2026"/>
    <n v="1"/>
    <n v="180"/>
    <n v="180"/>
  </r>
  <r>
    <n v="121"/>
    <s v="ORD061"/>
    <s v="Vanki Fly away Anti tarnish Stud"/>
    <x v="0"/>
    <s v="04-05-2026"/>
    <n v="1"/>
    <n v="199"/>
    <n v="199"/>
  </r>
  <r>
    <n v="122"/>
    <s v="ORD061"/>
    <s v="Honey Pop Anti-Tarnish Earrings"/>
    <x v="0"/>
    <s v="04-05-2026"/>
    <n v="1"/>
    <n v="120"/>
    <n v="120"/>
  </r>
  <r>
    <n v="123"/>
    <s v="ORD061"/>
    <s v="Glow Bar Anti-Tarnish Chain pendant"/>
    <x v="2"/>
    <s v="04-05-2026"/>
    <n v="1"/>
    <n v="275"/>
    <n v="275"/>
  </r>
  <r>
    <n v="124"/>
    <s v="ORD062"/>
    <s v="Luna Spark Anti-Tarnish Ring"/>
    <x v="3"/>
    <s v="04-05-2026"/>
    <n v="1"/>
    <n v="199"/>
    <n v="199"/>
  </r>
  <r>
    <n v="125"/>
    <s v="ORD062"/>
    <s v="Velour Rose Chain Pendant"/>
    <x v="2"/>
    <s v="04-05-2026"/>
    <n v="1"/>
    <n v="250"/>
    <n v="250"/>
  </r>
  <r>
    <n v="126"/>
    <s v="ORD063"/>
    <s v="Golden Dots Anti-Tarnish Bangles"/>
    <x v="1"/>
    <s v="05-05-2026"/>
    <n v="1"/>
    <n v="550"/>
    <n v="550"/>
  </r>
  <r>
    <n v="127"/>
    <s v="ORD063"/>
    <s v="Candy Knot Anti-Tarnish Studs"/>
    <x v="0"/>
    <s v="05-05-2026"/>
    <n v="1"/>
    <n v="125"/>
    <n v="125"/>
  </r>
  <r>
    <n v="128"/>
    <s v="ORD063"/>
    <s v="Vanki Nova Shine"/>
    <x v="0"/>
    <s v="05-05-2026"/>
    <n v="1"/>
    <n v="175"/>
    <n v="175"/>
  </r>
  <r>
    <n v="129"/>
    <s v="ORD064"/>
    <s v="Vanki Fly away Anti tarnish Stud"/>
    <x v="0"/>
    <s v="06-05-2026"/>
    <n v="2"/>
    <n v="199"/>
    <n v="398"/>
  </r>
  <r>
    <n v="130"/>
    <s v="ORD065"/>
    <s v="Aqua Wave Charm Chain Pendant"/>
    <x v="2"/>
    <s v="07-05-2026"/>
    <n v="1"/>
    <n v="199"/>
    <n v="199"/>
  </r>
  <r>
    <n v="131"/>
    <s v="ORD065"/>
    <s v="THE SNOWY LEAVES - EMBELLISHED ROSE GOLD RING"/>
    <x v="3"/>
    <s v="07-05-2026"/>
    <n v="1"/>
    <n v="275"/>
    <n v="275"/>
  </r>
  <r>
    <n v="132"/>
    <s v="ORD066"/>
    <s v="Aurora Loop Anti-Tarnish Bangle"/>
    <x v="1"/>
    <s v="07-05-2026"/>
    <n v="1"/>
    <n v="350"/>
    <n v="350"/>
  </r>
  <r>
    <n v="133"/>
    <s v="ORD066"/>
    <s v="Twinkle Babe Anti-Tarnish Studs"/>
    <x v="0"/>
    <s v="07-05-2026"/>
    <n v="1"/>
    <n v="99"/>
    <n v="99"/>
  </r>
  <r>
    <n v="134"/>
    <s v="ORD066"/>
    <s v="Crystal Glow Dots Anti-Tarnish Earrings"/>
    <x v="0"/>
    <s v="07-05-2026"/>
    <n v="1"/>
    <n v="180"/>
    <n v="180"/>
  </r>
  <r>
    <n v="135"/>
    <s v="ORD067"/>
    <s v="STAINLESS STEEL ANTI-TARNISH GOLDEN RING"/>
    <x v="3"/>
    <s v="08-05-2026"/>
    <n v="1"/>
    <n v="175"/>
    <n v="175"/>
  </r>
  <r>
    <n v="136"/>
    <s v="ORD068"/>
    <s v="Vanki Anti-Tarnish Wings Bangles"/>
    <x v="1"/>
    <s v="09-05-2026"/>
    <n v="1"/>
    <n v="349"/>
    <n v="349"/>
  </r>
  <r>
    <n v="137"/>
    <s v="ORD068"/>
    <s v="Glow Bar Anti-Tarnish Chain pendant"/>
    <x v="2"/>
    <s v="09-05-2026"/>
    <n v="1"/>
    <n v="275"/>
    <n v="275"/>
  </r>
  <r>
    <n v="138"/>
    <s v="ORD069"/>
    <s v="Lumi Anti-Tarnish Bangles"/>
    <x v="1"/>
    <s v="09-05-2026"/>
    <n v="1"/>
    <n v="349"/>
    <n v="349"/>
  </r>
  <r>
    <n v="139"/>
    <s v="ORD069"/>
    <s v="Velvet Spark Anti-Tarnish Earrings"/>
    <x v="0"/>
    <s v="09-05-2026"/>
    <n v="1"/>
    <n v="175"/>
    <n v="175"/>
  </r>
  <r>
    <n v="140"/>
    <s v="ORD069"/>
    <s v="Crystal Charm Ring"/>
    <x v="3"/>
    <s v="09-05-2026"/>
    <n v="1"/>
    <n v="225"/>
    <n v="225"/>
  </r>
  <r>
    <n v="141"/>
    <s v="ORD070"/>
    <s v="Vanki Nova Shine"/>
    <x v="0"/>
    <s v="10-05-2026"/>
    <n v="1"/>
    <n v="175"/>
    <n v="175"/>
  </r>
  <r>
    <n v="142"/>
    <s v="ORD071"/>
    <s v="Infinite Shine Vanki Anti-Tarnish Drop Earrings"/>
    <x v="0"/>
    <s v="10-05-2026"/>
    <n v="1"/>
    <n v="175"/>
    <n v="175"/>
  </r>
  <r>
    <n v="143"/>
    <s v="ORD071"/>
    <s v="Non-Tarnish Perma Shine Bangle"/>
    <x v="1"/>
    <s v="10-05-2026"/>
    <n v="1"/>
    <n v="249"/>
    <n v="249"/>
  </r>
  <r>
    <n v="144"/>
    <s v="ORD071"/>
    <s v="Royal Bloom Adjustable Ring"/>
    <x v="3"/>
    <s v="10-05-2026"/>
    <n v="1"/>
    <n v="249"/>
    <n v="249"/>
  </r>
  <r>
    <n v="145"/>
    <s v="ORD072"/>
    <s v="Mystic Wing Anti-Tarnish Earrings"/>
    <x v="0"/>
    <s v="11-05-2026"/>
    <n v="1"/>
    <n v="199"/>
    <n v="199"/>
  </r>
  <r>
    <n v="146"/>
    <s v="ORD072"/>
    <s v="Halo Gleam Anti-Tarnish Bangles"/>
    <x v="1"/>
    <s v="11-05-2026"/>
    <n v="1"/>
    <n v="399"/>
    <n v="399"/>
  </r>
  <r>
    <n v="147"/>
    <s v="ORD073"/>
    <s v="Vanki Nova Anti-Tarnish Bangle"/>
    <x v="1"/>
    <s v="11-05-2026"/>
    <n v="1"/>
    <n v="215"/>
    <n v="215"/>
  </r>
  <r>
    <n v="148"/>
    <s v="ORD073"/>
    <s v="SCULPTED OPEN GOLDEN RING"/>
    <x v="3"/>
    <s v="11-05-2026"/>
    <n v="1"/>
    <n v="249"/>
    <n v="249"/>
  </r>
  <r>
    <n v="149"/>
    <s v="ORD074"/>
    <s v="Luminous Loop Anti-Tarnish Bangle"/>
    <x v="1"/>
    <s v="12-05-2026"/>
    <n v="2"/>
    <n v="299"/>
    <n v="598"/>
  </r>
  <r>
    <n v="150"/>
    <s v="ORD074"/>
    <s v="Vanki Prism Shine Anti-Tarnish Earrings"/>
    <x v="0"/>
    <s v="12-05-2026"/>
    <n v="1"/>
    <n v="275"/>
    <n v="275"/>
  </r>
  <r>
    <n v="151"/>
    <s v="ORD075"/>
    <s v="Vanki Anti-Tarnish Radiant Drop"/>
    <x v="0"/>
    <s v="12-05-2026"/>
    <n v="1"/>
    <n v="499"/>
    <n v="499"/>
  </r>
  <r>
    <n v="152"/>
    <s v="ORD075"/>
    <s v="Anti-Tarnish Infinite Shine Drop"/>
    <x v="0"/>
    <s v="12-05-2026"/>
    <n v="1"/>
    <n v="199"/>
    <n v="199"/>
  </r>
  <r>
    <n v="153"/>
    <s v="ORD076"/>
    <s v="Non-Tarnish Eterna Band"/>
    <x v="1"/>
    <s v="13-05-2026"/>
    <n v="1"/>
    <n v="249"/>
    <n v="249"/>
  </r>
  <r>
    <n v="154"/>
    <s v="ORD076"/>
    <s v="WAVY STAINLESS STEEL ANTI-TARNISH RING"/>
    <x v="3"/>
    <s v="13-05-2026"/>
    <n v="1"/>
    <n v="150"/>
    <n v="150"/>
  </r>
  <r>
    <n v="155"/>
    <s v="ORD076"/>
    <s v="Bamboo Bliss Non-Tarnish Bangle"/>
    <x v="1"/>
    <s v="13-05-2026"/>
    <n v="1"/>
    <n v="375"/>
    <n v="375"/>
  </r>
  <r>
    <n v="156"/>
    <s v="ORD077"/>
    <s v="Non-Tarnish Golden Zenith Bangles"/>
    <x v="1"/>
    <s v="13-05-2026"/>
    <n v="1"/>
    <n v="275"/>
    <n v="275"/>
  </r>
  <r>
    <n v="157"/>
    <s v="ORD077"/>
    <s v="Lustrous Legacy Anti-Tarnish Bangles"/>
    <x v="1"/>
    <s v="13-05-2026"/>
    <n v="1"/>
    <n v="199"/>
    <n v="199"/>
  </r>
  <r>
    <n v="158"/>
    <s v="ORD077"/>
    <s v="Vanki Anti-Tarnish Radiant Drop"/>
    <x v="0"/>
    <s v="13-05-2026"/>
    <n v="1"/>
    <n v="499"/>
    <n v="499"/>
  </r>
  <r>
    <n v="159"/>
    <s v="ORD078"/>
    <s v="Vanki Nova Anti-Tarnish Earrings"/>
    <x v="0"/>
    <s v="14-05-2026"/>
    <n v="1"/>
    <n v="275"/>
    <n v="275"/>
  </r>
  <r>
    <n v="160"/>
    <s v="ORD079"/>
    <s v="Little Luxe Anti-Tarnish Stud"/>
    <x v="0"/>
    <s v="14-05-2026"/>
    <n v="3"/>
    <n v="175"/>
    <n v="525"/>
  </r>
  <r>
    <n v="161"/>
    <s v="ORD079"/>
    <s v="Vanki Skybird Chain with Pendant"/>
    <x v="2"/>
    <s v="14-05-2026"/>
    <n v="1"/>
    <n v="199"/>
    <n v="199"/>
  </r>
  <r>
    <n v="162"/>
    <s v="ORD079"/>
    <s v="BUTTERFLY TWIST RING"/>
    <x v="3"/>
    <s v="14-05-2026"/>
    <n v="1"/>
    <n v="75"/>
    <n v="75"/>
  </r>
  <r>
    <n v="163"/>
    <s v="ORD080"/>
    <s v="GOLDEN STATEMENT RING"/>
    <x v="3"/>
    <s v="15-05-2026"/>
    <n v="1"/>
    <n v="249"/>
    <n v="249"/>
  </r>
  <r>
    <n v="164"/>
    <s v="ORD080"/>
    <s v="Elegance Unbound Anti-Tarnish Bangle"/>
    <x v="1"/>
    <s v="15-05-2026"/>
    <n v="1"/>
    <n v="299"/>
    <n v="299"/>
  </r>
  <r>
    <n v="165"/>
    <s v="ORD080"/>
    <s v="Crown Jewel Drops"/>
    <x v="0"/>
    <s v="15-05-2026"/>
    <n v="1"/>
    <n v="225"/>
    <n v="225"/>
  </r>
  <r>
    <n v="166"/>
    <s v="ORD081"/>
    <s v="Bamboo Bliss Non-Tarnish Bangle"/>
    <x v="1"/>
    <s v="15-05-2026"/>
    <n v="1"/>
    <n v="375"/>
    <n v="375"/>
  </r>
  <r>
    <n v="167"/>
    <s v="ORD081"/>
    <s v="Mystic Wing Anti-Tarnish Earrings"/>
    <x v="0"/>
    <s v="15-05-2026"/>
    <n v="1"/>
    <n v="199"/>
    <n v="199"/>
  </r>
  <r>
    <n v="168"/>
    <s v="ORD082"/>
    <s v="Vanki Nova Anti-Tarnish Earrings"/>
    <x v="0"/>
    <s v="16-05-2026"/>
    <n v="2"/>
    <n v="275"/>
    <n v="550"/>
  </r>
  <r>
    <n v="169"/>
    <s v="ORD083"/>
    <s v="Lustrous Legacy Anti-Tarnish Bangles"/>
    <x v="1"/>
    <s v="16-05-2026"/>
    <n v="1"/>
    <n v="199"/>
    <n v="199"/>
  </r>
  <r>
    <n v="170"/>
    <s v="ORD083"/>
    <s v="Crown Jewel Drops"/>
    <x v="0"/>
    <s v="16-05-2026"/>
    <n v="1"/>
    <n v="225"/>
    <n v="225"/>
  </r>
  <r>
    <n v="171"/>
    <s v="ORD083"/>
    <s v="SCULPTED OPEN GOLDEN RING"/>
    <x v="3"/>
    <s v="16-05-2026"/>
    <n v="1"/>
    <n v="249"/>
    <n v="249"/>
  </r>
  <r>
    <n v="172"/>
    <s v="ORD084"/>
    <s v="Vanki Skybird Chain with Pendant"/>
    <x v="2"/>
    <s v="17-05-2026"/>
    <n v="1"/>
    <n v="199"/>
    <n v="199"/>
  </r>
  <r>
    <n v="173"/>
    <s v="ORD084"/>
    <s v="Little Luxe Anti-Tarnish Stud"/>
    <x v="0"/>
    <s v="17-05-2026"/>
    <n v="2"/>
    <n v="175"/>
    <n v="350"/>
  </r>
  <r>
    <n v="174"/>
    <s v="ORD085"/>
    <s v="GOLDEN STATEMENT RING"/>
    <x v="3"/>
    <s v="17-05-2026"/>
    <n v="1"/>
    <n v="249"/>
    <n v="249"/>
  </r>
  <r>
    <n v="175"/>
    <s v="ORD086"/>
    <s v="Halo Gleam Anti-Tarnish Bangles"/>
    <x v="1"/>
    <s v="18-05-2026"/>
    <n v="1"/>
    <n v="399"/>
    <n v="399"/>
  </r>
  <r>
    <n v="176"/>
    <s v="ORD086"/>
    <s v="Vanki Anti-Tarnish Radiant Drop"/>
    <x v="0"/>
    <s v="18-05-2026"/>
    <n v="1"/>
    <n v="499"/>
    <n v="499"/>
  </r>
  <r>
    <n v="177"/>
    <s v="ORD086"/>
    <s v="BUTTERFLY TWIST RING"/>
    <x v="3"/>
    <s v="18-05-2026"/>
    <n v="1"/>
    <n v="75"/>
    <n v="75"/>
  </r>
  <r>
    <n v="178"/>
    <s v="ORD087"/>
    <s v="Non-Tarnish Golden Zenith Bangles"/>
    <x v="1"/>
    <s v="18-05-2026"/>
    <n v="1"/>
    <n v="275"/>
    <n v="275"/>
  </r>
  <r>
    <n v="179"/>
    <s v="ORD087"/>
    <s v="Vanki Nova Shine"/>
    <x v="0"/>
    <s v="18-05-2026"/>
    <n v="1"/>
    <n v="175"/>
    <n v="175"/>
  </r>
  <r>
    <n v="180"/>
    <s v="ORD088"/>
    <s v="WAVY STAINLESS STEEL ANTI-TARNISH RING"/>
    <x v="3"/>
    <s v="19-05-2026"/>
    <n v="2"/>
    <n v="150"/>
    <n v="300"/>
  </r>
  <r>
    <n v="181"/>
    <s v="ORD089"/>
    <s v="Luminous Loop Anti-Tarnish Bangle"/>
    <x v="1"/>
    <s v="19-05-2026"/>
    <n v="1"/>
    <n v="299"/>
    <n v="299"/>
  </r>
  <r>
    <n v="182"/>
    <s v="ORD089"/>
    <s v="Mystic Wing Anti-Tarnish Earrings"/>
    <x v="0"/>
    <s v="19-05-2026"/>
    <n v="1"/>
    <n v="199"/>
    <n v="199"/>
  </r>
  <r>
    <n v="183"/>
    <s v="ORD089"/>
    <s v="Vanki Skybird Chain with Pendant"/>
    <x v="2"/>
    <s v="19-05-2026"/>
    <n v="1"/>
    <n v="199"/>
    <n v="199"/>
  </r>
  <r>
    <n v="184"/>
    <s v="ORD090"/>
    <s v="Crown Jewel Drops"/>
    <x v="0"/>
    <s v="20-05-2026"/>
    <n v="1"/>
    <n v="225"/>
    <n v="225"/>
  </r>
  <r>
    <n v="185"/>
    <s v="ORD090"/>
    <s v="Bamboo Bliss Non-Tarnish Bangle"/>
    <x v="1"/>
    <s v="20-05-2026"/>
    <n v="1"/>
    <n v="375"/>
    <n v="375"/>
  </r>
  <r>
    <n v="186"/>
    <s v="ORD091"/>
    <s v="Non-Tarnish Perma Shine Bangle"/>
    <x v="1"/>
    <s v="20-05-2026"/>
    <n v="1"/>
    <n v="249"/>
    <n v="249"/>
  </r>
  <r>
    <n v="187"/>
    <s v="ORD091"/>
    <s v="Golden Monarch Anti-Tarnish Bangle"/>
    <x v="1"/>
    <s v="20-05-2026"/>
    <n v="1"/>
    <n v="299"/>
    <n v="299"/>
  </r>
  <r>
    <n v="188"/>
    <s v="ORD092"/>
    <s v="Golden Adjustable Ring"/>
    <x v="3"/>
    <s v="21-05-2026"/>
    <n v="1"/>
    <n v="149"/>
    <n v="149"/>
  </r>
  <r>
    <n v="189"/>
    <s v="ORD092"/>
    <s v="Starlet Anti-Tarnish Studs"/>
    <x v="0"/>
    <s v="21-05-2026"/>
    <n v="1"/>
    <n v="299"/>
    <n v="299"/>
  </r>
  <r>
    <n v="190"/>
    <s v="ORD092"/>
    <s v="Halo Gleam Anti-Tarnish Bangles"/>
    <x v="1"/>
    <s v="21-05-2026"/>
    <n v="1"/>
    <n v="399"/>
    <n v="399"/>
  </r>
  <r>
    <n v="191"/>
    <s v="ORD093"/>
    <s v="Aurora Loop Anti-Tarnish Bangles"/>
    <x v="1"/>
    <s v="22-05-2026"/>
    <n v="1"/>
    <n v="475"/>
    <n v="475"/>
  </r>
  <r>
    <n v="192"/>
    <s v="ORD093"/>
    <s v="Vanki Anti-Tarnish Wings Bangles"/>
    <x v="1"/>
    <s v="22-05-2026"/>
    <n v="1"/>
    <n v="349"/>
    <n v="349"/>
  </r>
  <r>
    <n v="193"/>
    <s v="ORD094"/>
    <s v="Vanki Fly away Anti tarnish Stud"/>
    <x v="0"/>
    <s v="23-05-2026"/>
    <n v="1"/>
    <n v="199"/>
    <n v="199"/>
  </r>
  <r>
    <n v="194"/>
    <s v="ORD094"/>
    <s v="Vanki Nova Anti-Tarnish Bangle"/>
    <x v="1"/>
    <s v="23-05-2026"/>
    <n v="1"/>
    <n v="215"/>
    <n v="215"/>
  </r>
  <r>
    <n v="195"/>
    <s v="ORD094"/>
    <s v="EMBELLISHED ROSE GOLD RING"/>
    <x v="3"/>
    <s v="23-05-2026"/>
    <n v="1"/>
    <n v="149"/>
    <n v="149"/>
  </r>
  <r>
    <n v="196"/>
    <s v="ORD095"/>
    <s v="Vanki Radiance Pendant with Pendant set"/>
    <x v="2"/>
    <s v="24-05-2026"/>
    <n v="2"/>
    <n v="199"/>
    <n v="398"/>
  </r>
  <r>
    <n v="197"/>
    <s v="ORD096"/>
    <s v="Non-Tarnish Perma Shine Bangle"/>
    <x v="1"/>
    <s v="25-05-2026"/>
    <n v="1"/>
    <n v="249"/>
    <n v="249"/>
  </r>
  <r>
    <n v="198"/>
    <s v="ORD097"/>
    <s v="SILVER-PLATED ANTI-TARNISH ANXIETY SPINNING RING INLAID WITH CUBIC ZICRONIA STONES"/>
    <x v="3"/>
    <s v="26-05-2026"/>
    <n v="1"/>
    <n v="249"/>
    <n v="249"/>
  </r>
  <r>
    <n v="199"/>
    <s v="ORD097"/>
    <s v="ENAMELLED GOLD RING"/>
    <x v="3"/>
    <s v="26-05-2026"/>
    <n v="1"/>
    <n v="249"/>
    <n v="249"/>
  </r>
  <r>
    <n v="200"/>
    <s v="ORD097"/>
    <s v="Vanki Non-Tarnish Evil Eye Bangles"/>
    <x v="1"/>
    <s v="26-05-2026"/>
    <n v="1"/>
    <n v="349"/>
    <n v="349"/>
  </r>
  <r>
    <n v="201"/>
    <s v="ORD098"/>
    <s v="Pure Luxe Non-Tarnish Bangle"/>
    <x v="1"/>
    <s v="27-05-2026"/>
    <n v="2"/>
    <n v="349"/>
    <n v="698"/>
  </r>
  <r>
    <n v="202"/>
    <s v="ORD098"/>
    <s v="Ever Glow Non-Tarnish Bangle"/>
    <x v="1"/>
    <s v="27-05-2026"/>
    <n v="1"/>
    <n v="249"/>
    <n v="249"/>
  </r>
  <r>
    <n v="203"/>
    <s v="ORD099"/>
    <s v="Non-Tarnish Golden Zenith Bangles"/>
    <x v="1"/>
    <s v="28-05-2026"/>
    <n v="1"/>
    <n v="275"/>
    <n v="275"/>
  </r>
  <r>
    <n v="204"/>
    <s v="ORD100"/>
    <s v="Sweet Twinkle Anti-Tarnish Earrings"/>
    <x v="0"/>
    <s v="29-05-2026"/>
    <n v="1"/>
    <n v="299"/>
    <n v="29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0"/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4">
  <r>
    <n v="1"/>
    <n v="175"/>
  </r>
  <r>
    <n v="1"/>
    <n v="249"/>
  </r>
  <r>
    <n v="1"/>
    <n v="399"/>
  </r>
  <r>
    <n v="1"/>
    <n v="399"/>
  </r>
  <r>
    <n v="3"/>
    <n v="175"/>
  </r>
  <r>
    <n v="1"/>
    <n v="299"/>
  </r>
  <r>
    <n v="1"/>
    <n v="249"/>
  </r>
  <r>
    <n v="1"/>
    <n v="125"/>
  </r>
  <r>
    <n v="1"/>
    <n v="249"/>
  </r>
  <r>
    <n v="1"/>
    <n v="125"/>
  </r>
  <r>
    <n v="1"/>
    <n v="449"/>
  </r>
  <r>
    <n v="1"/>
    <n v="299"/>
  </r>
  <r>
    <n v="1"/>
    <n v="175"/>
  </r>
  <r>
    <n v="1"/>
    <n v="99"/>
  </r>
  <r>
    <n v="1"/>
    <n v="249"/>
  </r>
  <r>
    <n v="1"/>
    <n v="299"/>
  </r>
  <r>
    <n v="1"/>
    <n v="349"/>
  </r>
  <r>
    <n v="1"/>
    <n v="175"/>
  </r>
  <r>
    <n v="1"/>
    <n v="125"/>
  </r>
  <r>
    <n v="1"/>
    <n v="120"/>
  </r>
  <r>
    <n v="1"/>
    <n v="249"/>
  </r>
  <r>
    <n v="1"/>
    <n v="175"/>
  </r>
  <r>
    <n v="1"/>
    <n v="120"/>
  </r>
  <r>
    <n v="1"/>
    <n v="399"/>
  </r>
  <r>
    <n v="2"/>
    <n v="99"/>
  </r>
  <r>
    <n v="1"/>
    <n v="175"/>
  </r>
  <r>
    <n v="1"/>
    <n v="249"/>
  </r>
  <r>
    <n v="1"/>
    <n v="175"/>
  </r>
  <r>
    <n v="1"/>
    <n v="299"/>
  </r>
  <r>
    <n v="1"/>
    <n v="99"/>
  </r>
  <r>
    <n v="1"/>
    <n v="449"/>
  </r>
  <r>
    <n v="2"/>
    <n v="175"/>
  </r>
  <r>
    <n v="1"/>
    <n v="399"/>
  </r>
  <r>
    <n v="1"/>
    <n v="175"/>
  </r>
  <r>
    <n v="1"/>
    <n v="349"/>
  </r>
  <r>
    <n v="1"/>
    <n v="120"/>
  </r>
  <r>
    <n v="1"/>
    <n v="175"/>
  </r>
  <r>
    <n v="1"/>
    <n v="299"/>
  </r>
  <r>
    <n v="1"/>
    <n v="299"/>
  </r>
  <r>
    <n v="1"/>
    <n v="99"/>
  </r>
  <r>
    <n v="1"/>
    <n v="249"/>
  </r>
  <r>
    <n v="1"/>
    <n v="249"/>
  </r>
  <r>
    <n v="1"/>
    <n v="199"/>
  </r>
  <r>
    <n v="1"/>
    <n v="175"/>
  </r>
  <r>
    <n v="1"/>
    <n v="249"/>
  </r>
  <r>
    <n v="1"/>
    <n v="299"/>
  </r>
  <r>
    <n v="1"/>
    <n v="120"/>
  </r>
  <r>
    <n v="1"/>
    <n v="225"/>
  </r>
  <r>
    <n v="2"/>
    <n v="175"/>
  </r>
  <r>
    <n v="1"/>
    <n v="199"/>
  </r>
  <r>
    <n v="1"/>
    <n v="279"/>
  </r>
  <r>
    <n v="1"/>
    <n v="399"/>
  </r>
  <r>
    <n v="1"/>
    <n v="99"/>
  </r>
  <r>
    <n v="1"/>
    <n v="225"/>
  </r>
  <r>
    <n v="1"/>
    <n v="299"/>
  </r>
  <r>
    <n v="1"/>
    <n v="249"/>
  </r>
  <r>
    <n v="2"/>
    <n v="199"/>
  </r>
  <r>
    <n v="1"/>
    <n v="449"/>
  </r>
  <r>
    <n v="1"/>
    <n v="175"/>
  </r>
  <r>
    <n v="1"/>
    <n v="279"/>
  </r>
  <r>
    <n v="1"/>
    <n v="175"/>
  </r>
  <r>
    <n v="1"/>
    <n v="225"/>
  </r>
  <r>
    <n v="1"/>
    <n v="249"/>
  </r>
  <r>
    <n v="1"/>
    <n v="349"/>
  </r>
  <r>
    <n v="1"/>
    <n v="350"/>
  </r>
  <r>
    <n v="1"/>
    <n v="275"/>
  </r>
  <r>
    <n v="1"/>
    <n v="299"/>
  </r>
  <r>
    <n v="1"/>
    <n v="249"/>
  </r>
  <r>
    <n v="1"/>
    <n v="349"/>
  </r>
  <r>
    <n v="1"/>
    <n v="99"/>
  </r>
  <r>
    <n v="1"/>
    <n v="249"/>
  </r>
  <r>
    <n v="1"/>
    <n v="249"/>
  </r>
  <r>
    <n v="1"/>
    <n v="125"/>
  </r>
  <r>
    <n v="1"/>
    <n v="50"/>
  </r>
  <r>
    <n v="1"/>
    <n v="199"/>
  </r>
  <r>
    <n v="1"/>
    <n v="349"/>
  </r>
  <r>
    <n v="1"/>
    <n v="299"/>
  </r>
  <r>
    <n v="1"/>
    <n v="275"/>
  </r>
  <r>
    <n v="1"/>
    <n v="199"/>
  </r>
  <r>
    <n v="1"/>
    <n v="299"/>
  </r>
  <r>
    <n v="1"/>
    <n v="199"/>
  </r>
  <r>
    <n v="1"/>
    <n v="199"/>
  </r>
  <r>
    <n v="1"/>
    <n v="349"/>
  </r>
  <r>
    <n v="1"/>
    <n v="199"/>
  </r>
  <r>
    <n v="2"/>
    <n v="275"/>
  </r>
  <r>
    <n v="1"/>
    <n v="249"/>
  </r>
  <r>
    <n v="1"/>
    <n v="225"/>
  </r>
  <r>
    <n v="1"/>
    <n v="120"/>
  </r>
  <r>
    <n v="1"/>
    <n v="199"/>
  </r>
  <r>
    <n v="1"/>
    <n v="99"/>
  </r>
  <r>
    <n v="2"/>
    <n v="50"/>
  </r>
  <r>
    <n v="1"/>
    <n v="199"/>
  </r>
  <r>
    <n v="1"/>
    <n v="275"/>
  </r>
  <r>
    <n v="1"/>
    <n v="249"/>
  </r>
  <r>
    <n v="1"/>
    <n v="199"/>
  </r>
  <r>
    <n v="1"/>
    <n v="249"/>
  </r>
  <r>
    <n v="1"/>
    <n v="199"/>
  </r>
  <r>
    <n v="1"/>
    <n v="175"/>
  </r>
  <r>
    <n v="1"/>
    <n v="199"/>
  </r>
  <r>
    <n v="1"/>
    <n v="299"/>
  </r>
  <r>
    <n v="1"/>
    <n v="299"/>
  </r>
  <r>
    <n v="1"/>
    <n v="279"/>
  </r>
  <r>
    <n v="1"/>
    <n v="275"/>
  </r>
  <r>
    <n v="1"/>
    <n v="125"/>
  </r>
  <r>
    <n v="1"/>
    <n v="250"/>
  </r>
  <r>
    <n v="1"/>
    <n v="349"/>
  </r>
  <r>
    <n v="1"/>
    <n v="550"/>
  </r>
  <r>
    <n v="1"/>
    <n v="350"/>
  </r>
  <r>
    <n v="1"/>
    <n v="175"/>
  </r>
  <r>
    <n v="1"/>
    <n v="349"/>
  </r>
  <r>
    <n v="1"/>
    <n v="125"/>
  </r>
  <r>
    <n v="1"/>
    <n v="199"/>
  </r>
  <r>
    <n v="1"/>
    <n v="275"/>
  </r>
  <r>
    <n v="1"/>
    <n v="175"/>
  </r>
  <r>
    <n v="1"/>
    <n v="99"/>
  </r>
  <r>
    <n v="1"/>
    <n v="199"/>
  </r>
  <r>
    <n v="1"/>
    <n v="175"/>
  </r>
  <r>
    <n v="2"/>
    <n v="175"/>
  </r>
  <r>
    <n v="8"/>
    <n v="175"/>
  </r>
  <r>
    <n v="1"/>
    <n v="180"/>
  </r>
  <r>
    <n v="1"/>
    <n v="199"/>
  </r>
  <r>
    <n v="1"/>
    <n v="120"/>
  </r>
  <r>
    <n v="1"/>
    <n v="275"/>
  </r>
  <r>
    <n v="1"/>
    <n v="199"/>
  </r>
  <r>
    <n v="1"/>
    <n v="250"/>
  </r>
  <r>
    <n v="1"/>
    <n v="550"/>
  </r>
  <r>
    <n v="1"/>
    <n v="125"/>
  </r>
  <r>
    <n v="1"/>
    <n v="175"/>
  </r>
  <r>
    <n v="2"/>
    <n v="199"/>
  </r>
  <r>
    <n v="1"/>
    <n v="199"/>
  </r>
  <r>
    <n v="1"/>
    <n v="275"/>
  </r>
  <r>
    <n v="1"/>
    <n v="350"/>
  </r>
  <r>
    <n v="1"/>
    <n v="99"/>
  </r>
  <r>
    <n v="1"/>
    <n v="180"/>
  </r>
  <r>
    <n v="1"/>
    <n v="175"/>
  </r>
  <r>
    <n v="1"/>
    <n v="349"/>
  </r>
  <r>
    <n v="1"/>
    <n v="275"/>
  </r>
  <r>
    <n v="1"/>
    <n v="349"/>
  </r>
  <r>
    <n v="1"/>
    <n v="175"/>
  </r>
  <r>
    <n v="1"/>
    <n v="225"/>
  </r>
  <r>
    <n v="1"/>
    <n v="175"/>
  </r>
  <r>
    <n v="1"/>
    <n v="175"/>
  </r>
  <r>
    <n v="1"/>
    <n v="249"/>
  </r>
  <r>
    <n v="1"/>
    <n v="249"/>
  </r>
  <r>
    <n v="1"/>
    <n v="199"/>
  </r>
  <r>
    <n v="1"/>
    <n v="399"/>
  </r>
  <r>
    <n v="1"/>
    <n v="215"/>
  </r>
  <r>
    <n v="1"/>
    <n v="249"/>
  </r>
  <r>
    <n v="2"/>
    <n v="299"/>
  </r>
  <r>
    <n v="1"/>
    <n v="275"/>
  </r>
  <r>
    <n v="1"/>
    <n v="499"/>
  </r>
  <r>
    <n v="1"/>
    <n v="199"/>
  </r>
  <r>
    <n v="1"/>
    <n v="249"/>
  </r>
  <r>
    <n v="1"/>
    <n v="150"/>
  </r>
  <r>
    <n v="1"/>
    <n v="375"/>
  </r>
  <r>
    <n v="1"/>
    <n v="275"/>
  </r>
  <r>
    <n v="1"/>
    <n v="199"/>
  </r>
  <r>
    <n v="1"/>
    <n v="499"/>
  </r>
  <r>
    <n v="1"/>
    <n v="275"/>
  </r>
  <r>
    <n v="3"/>
    <n v="175"/>
  </r>
  <r>
    <n v="1"/>
    <n v="199"/>
  </r>
  <r>
    <n v="1"/>
    <n v="75"/>
  </r>
  <r>
    <n v="1"/>
    <n v="249"/>
  </r>
  <r>
    <n v="1"/>
    <n v="299"/>
  </r>
  <r>
    <n v="1"/>
    <n v="225"/>
  </r>
  <r>
    <n v="1"/>
    <n v="375"/>
  </r>
  <r>
    <n v="1"/>
    <n v="199"/>
  </r>
  <r>
    <n v="2"/>
    <n v="275"/>
  </r>
  <r>
    <n v="1"/>
    <n v="199"/>
  </r>
  <r>
    <n v="1"/>
    <n v="225"/>
  </r>
  <r>
    <n v="1"/>
    <n v="249"/>
  </r>
  <r>
    <n v="1"/>
    <n v="199"/>
  </r>
  <r>
    <n v="2"/>
    <n v="175"/>
  </r>
  <r>
    <n v="1"/>
    <n v="249"/>
  </r>
  <r>
    <n v="1"/>
    <n v="399"/>
  </r>
  <r>
    <n v="1"/>
    <n v="499"/>
  </r>
  <r>
    <n v="1"/>
    <n v="75"/>
  </r>
  <r>
    <n v="1"/>
    <n v="275"/>
  </r>
  <r>
    <n v="1"/>
    <n v="175"/>
  </r>
  <r>
    <n v="2"/>
    <n v="150"/>
  </r>
  <r>
    <n v="1"/>
    <n v="299"/>
  </r>
  <r>
    <n v="1"/>
    <n v="199"/>
  </r>
  <r>
    <n v="1"/>
    <n v="199"/>
  </r>
  <r>
    <n v="1"/>
    <n v="225"/>
  </r>
  <r>
    <n v="1"/>
    <n v="375"/>
  </r>
  <r>
    <n v="1"/>
    <n v="249"/>
  </r>
  <r>
    <n v="1"/>
    <n v="299"/>
  </r>
  <r>
    <n v="1"/>
    <n v="149"/>
  </r>
  <r>
    <n v="1"/>
    <n v="299"/>
  </r>
  <r>
    <n v="1"/>
    <n v="399"/>
  </r>
  <r>
    <n v="1"/>
    <n v="475"/>
  </r>
  <r>
    <n v="1"/>
    <n v="349"/>
  </r>
  <r>
    <n v="1"/>
    <n v="199"/>
  </r>
  <r>
    <n v="1"/>
    <n v="215"/>
  </r>
  <r>
    <n v="1"/>
    <n v="149"/>
  </r>
  <r>
    <n v="2"/>
    <n v="199"/>
  </r>
  <r>
    <n v="1"/>
    <n v="249"/>
  </r>
  <r>
    <n v="1"/>
    <n v="249"/>
  </r>
  <r>
    <n v="1"/>
    <n v="249"/>
  </r>
  <r>
    <n v="1"/>
    <n v="349"/>
  </r>
  <r>
    <n v="2"/>
    <n v="349"/>
  </r>
  <r>
    <n v="1"/>
    <n v="249"/>
  </r>
  <r>
    <n v="1"/>
    <n v="275"/>
  </r>
  <r>
    <n v="1"/>
    <n v="2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CB64F6-FE0A-419D-AF9C-FD1D04576200}" name="PivotTable2" cacheId="1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6" rowHeaderCaption="Month">
  <location ref="K29:L33" firstHeaderRow="1" firstDataRow="1" firstDataCol="1"/>
  <pivotFields count="2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Distinct Count of Order No.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Distinct Count of Order No.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ily Sales!$A$1:$I$205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281EE7-EFAC-4B12-BE65-C5745EAF3CDA}" name="PivotTable8" cacheId="9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outline="1" outlineData="1" multipleFieldFilters="0" chartFormat="2" rowHeaderCaption="Category">
  <location ref="K36:L41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Qty" fld="1" baseField="0" baseItem="0"/>
  </dataFields>
  <pivotHierarchies count="1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ily Sales!$A$1:$I$205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PivotTable1" cacheId="7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12" rowHeaderCaption="Month">
  <location ref="K8:L12" firstHeaderRow="1" firstDataRow="1" firstDataCol="1"/>
  <pivotFields count="9">
    <pivotField showAll="0"/>
    <pivotField showAll="0"/>
    <pivotField showAll="0"/>
    <pivotField showAll="0"/>
    <pivotField showAll="0"/>
    <pivotField showAll="0"/>
    <pivotField numFmtId="164" showAll="0"/>
    <pivotField dataField="1" numFmtId="164" showAll="0"/>
    <pivotField axis="axisRow" showAll="0">
      <items count="4">
        <item x="0"/>
        <item x="1"/>
        <item x="2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Revenue" fld="7" baseField="0" baseItem="0" numFmtId="164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5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 rowHeaderCaption="Category">
  <location ref="K14:L19" firstHeaderRow="1" firstDataRow="1" firstDataCol="1"/>
  <pivotFields count="8"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numFmtId="164" showAll="0"/>
    <pivotField dataField="1" numFmtId="164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Sales" fld="7" baseField="0" baseItem="0" numFmtId="164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 rowHeaderCaption="Category">
  <location ref="K1:L6" firstHeaderRow="1" firstDataRow="1" firstDataCol="1"/>
  <pivotFields count="8"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dataField="1" showAll="0"/>
    <pivotField numFmtId="164" showAll="0"/>
    <pivotField numFmtId="164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Qty" fld="5" baseField="0" baseItem="0"/>
  </dataFields>
  <chartFormats count="6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1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1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1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451942-659C-4477-BC62-22789918E64C}" name="PivotTable7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45:M62" firstHeaderRow="1" firstDataRow="1" firstDataCol="0"/>
  <pivotFields count="2">
    <pivotField showAll="0"/>
    <pivotField numFmtId="164"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3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">
  <location ref="K22:L26" firstHeaderRow="1" firstDataRow="1" firstDataCol="1"/>
  <pivotFields count="9">
    <pivotField showAll="0"/>
    <pivotField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/>
    <pivotField showAll="0"/>
    <pivotField showAll="0"/>
    <pivotField dataField="1" showAll="0"/>
    <pivotField numFmtId="164" showAll="0"/>
    <pivotField numFmtId="164" showAll="0"/>
    <pivotField axis="axisRow" showAll="0">
      <items count="4">
        <item x="0"/>
        <item x="1"/>
        <item x="2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Qty" fld="5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84A2A4-9C53-4A7B-8442-8BCDBC9D0D29}" name="PivotTable18" cacheId="1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1">
  <location ref="P46:T52" firstHeaderRow="1" firstDataRow="2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efaultSubtotal="0" defaultAttributeDrillState="1">
      <items count="3">
        <item x="1"/>
        <item x="0"/>
        <item x="2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Line Total (₹)" fld="2" baseField="0" baseItem="0"/>
  </dataFields>
  <pivotHierarchies count="1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ily Sales!$A$1:$I$205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drawing" Target="../drawings/drawing1.xml"/><Relationship Id="rId4" Type="http://schemas.openxmlformats.org/officeDocument/2006/relationships/pivotTable" Target="../pivotTables/pivotTable4.xml"/><Relationship Id="rId9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1"/>
  <sheetViews>
    <sheetView showGridLines="0" zoomScale="62" zoomScaleNormal="62" workbookViewId="0">
      <selection activeCell="P4" sqref="P4"/>
    </sheetView>
  </sheetViews>
  <sheetFormatPr defaultColWidth="8.6328125" defaultRowHeight="14.5"/>
  <cols>
    <col min="1" max="1" width="10" customWidth="1"/>
    <col min="2" max="2" width="18" customWidth="1"/>
    <col min="3" max="3" width="12" customWidth="1"/>
    <col min="4" max="4" width="34" customWidth="1"/>
    <col min="5" max="5" width="12" customWidth="1"/>
    <col min="6" max="6" width="8" customWidth="1"/>
    <col min="7" max="7" width="14" customWidth="1"/>
    <col min="8" max="8" width="34" customWidth="1"/>
    <col min="9" max="9" width="12" customWidth="1"/>
    <col min="10" max="10" width="8" customWidth="1"/>
    <col min="11" max="11" width="14" customWidth="1"/>
    <col min="12" max="12" width="34" customWidth="1"/>
    <col min="13" max="13" width="12" customWidth="1"/>
    <col min="14" max="14" width="8" customWidth="1"/>
    <col min="15" max="15" width="14" customWidth="1"/>
    <col min="16" max="16" width="15" customWidth="1"/>
    <col min="17" max="18" width="10" customWidth="1"/>
  </cols>
  <sheetData>
    <row r="1" spans="1:18" ht="31.5" customHeight="1">
      <c r="A1" s="1" t="s">
        <v>96</v>
      </c>
      <c r="B1" s="1" t="s">
        <v>97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103</v>
      </c>
      <c r="I1" s="1" t="s">
        <v>104</v>
      </c>
      <c r="J1" s="1" t="s">
        <v>105</v>
      </c>
      <c r="K1" s="1" t="s">
        <v>106</v>
      </c>
      <c r="L1" s="1" t="s">
        <v>107</v>
      </c>
      <c r="M1" s="1" t="s">
        <v>108</v>
      </c>
      <c r="N1" s="1" t="s">
        <v>109</v>
      </c>
      <c r="O1" s="1" t="s">
        <v>110</v>
      </c>
      <c r="P1" s="1" t="s">
        <v>111</v>
      </c>
      <c r="Q1" s="1" t="s">
        <v>112</v>
      </c>
      <c r="R1" s="1" t="s">
        <v>113</v>
      </c>
    </row>
    <row r="2" spans="1:18" ht="15" customHeight="1">
      <c r="A2" s="2" t="s">
        <v>114</v>
      </c>
      <c r="B2" s="3" t="s">
        <v>115</v>
      </c>
      <c r="C2" s="3">
        <v>2</v>
      </c>
      <c r="D2" s="3" t="s">
        <v>42</v>
      </c>
      <c r="E2" s="3" t="s">
        <v>10</v>
      </c>
      <c r="F2" s="3">
        <v>1</v>
      </c>
      <c r="G2" s="4">
        <v>175</v>
      </c>
      <c r="H2" s="3" t="s">
        <v>59</v>
      </c>
      <c r="I2" s="3" t="s">
        <v>10</v>
      </c>
      <c r="J2" s="3">
        <v>1</v>
      </c>
      <c r="K2" s="4">
        <v>249</v>
      </c>
      <c r="L2" s="3" t="s">
        <v>116</v>
      </c>
      <c r="M2" s="3" t="s">
        <v>116</v>
      </c>
      <c r="N2" s="3" t="s">
        <v>116</v>
      </c>
      <c r="O2" s="3" t="s">
        <v>116</v>
      </c>
      <c r="P2" s="4">
        <f t="shared" ref="P2:P33" si="0">IFERROR(F2*G2,0)+IFERROR(J2*K2,0)+IFERROR(N2*O2,0)</f>
        <v>424</v>
      </c>
      <c r="Q2" s="3" t="s">
        <v>117</v>
      </c>
      <c r="R2" s="3" t="s">
        <v>118</v>
      </c>
    </row>
    <row r="3" spans="1:18" ht="15" customHeight="1">
      <c r="A3" s="5" t="s">
        <v>119</v>
      </c>
      <c r="B3" s="6" t="s">
        <v>120</v>
      </c>
      <c r="C3" s="6">
        <v>1</v>
      </c>
      <c r="D3" s="6" t="s">
        <v>51</v>
      </c>
      <c r="E3" s="6" t="s">
        <v>11</v>
      </c>
      <c r="F3" s="6">
        <v>1</v>
      </c>
      <c r="G3" s="7">
        <v>399</v>
      </c>
      <c r="H3" s="6" t="s">
        <v>116</v>
      </c>
      <c r="I3" s="6" t="s">
        <v>116</v>
      </c>
      <c r="J3" s="6" t="s">
        <v>116</v>
      </c>
      <c r="K3" s="6" t="s">
        <v>116</v>
      </c>
      <c r="L3" s="6" t="s">
        <v>116</v>
      </c>
      <c r="M3" s="6" t="s">
        <v>116</v>
      </c>
      <c r="N3" s="6" t="s">
        <v>116</v>
      </c>
      <c r="O3" s="6" t="s">
        <v>116</v>
      </c>
      <c r="P3" s="14">
        <f t="shared" si="0"/>
        <v>399</v>
      </c>
      <c r="Q3" s="6" t="s">
        <v>117</v>
      </c>
      <c r="R3" s="6" t="s">
        <v>118</v>
      </c>
    </row>
    <row r="4" spans="1:18" ht="15" customHeight="1">
      <c r="A4" s="2" t="s">
        <v>121</v>
      </c>
      <c r="B4" s="3" t="s">
        <v>122</v>
      </c>
      <c r="C4" s="3">
        <v>3</v>
      </c>
      <c r="D4" s="3" t="s">
        <v>29</v>
      </c>
      <c r="E4" s="3" t="s">
        <v>11</v>
      </c>
      <c r="F4" s="3">
        <v>1</v>
      </c>
      <c r="G4" s="4">
        <v>399</v>
      </c>
      <c r="H4" s="3" t="s">
        <v>27</v>
      </c>
      <c r="I4" s="3" t="s">
        <v>10</v>
      </c>
      <c r="J4" s="3">
        <v>3</v>
      </c>
      <c r="K4" s="4">
        <v>175</v>
      </c>
      <c r="L4" s="3" t="s">
        <v>65</v>
      </c>
      <c r="M4" s="3" t="s">
        <v>10</v>
      </c>
      <c r="N4" s="3">
        <v>1</v>
      </c>
      <c r="O4" s="4">
        <v>299</v>
      </c>
      <c r="P4" s="4">
        <f t="shared" si="0"/>
        <v>1223</v>
      </c>
      <c r="Q4" s="3" t="s">
        <v>123</v>
      </c>
      <c r="R4" s="3" t="s">
        <v>118</v>
      </c>
    </row>
    <row r="5" spans="1:18" ht="15" customHeight="1">
      <c r="A5" s="5" t="s">
        <v>124</v>
      </c>
      <c r="B5" s="6" t="s">
        <v>125</v>
      </c>
      <c r="C5" s="6">
        <v>2</v>
      </c>
      <c r="D5" s="6" t="s">
        <v>59</v>
      </c>
      <c r="E5" s="6" t="s">
        <v>10</v>
      </c>
      <c r="F5" s="6">
        <v>1</v>
      </c>
      <c r="G5" s="7">
        <v>249</v>
      </c>
      <c r="H5" s="6" t="s">
        <v>69</v>
      </c>
      <c r="I5" s="6" t="s">
        <v>10</v>
      </c>
      <c r="J5" s="6">
        <v>1</v>
      </c>
      <c r="K5" s="7">
        <v>125</v>
      </c>
      <c r="L5" s="6" t="s">
        <v>116</v>
      </c>
      <c r="M5" s="6" t="s">
        <v>116</v>
      </c>
      <c r="N5" s="6" t="s">
        <v>116</v>
      </c>
      <c r="O5" s="6" t="s">
        <v>116</v>
      </c>
      <c r="P5" s="14">
        <f t="shared" si="0"/>
        <v>374</v>
      </c>
      <c r="Q5" s="6" t="s">
        <v>117</v>
      </c>
      <c r="R5" s="6" t="s">
        <v>118</v>
      </c>
    </row>
    <row r="6" spans="1:18" ht="15" customHeight="1">
      <c r="A6" s="2" t="s">
        <v>126</v>
      </c>
      <c r="B6" s="3" t="s">
        <v>127</v>
      </c>
      <c r="C6" s="3">
        <v>1</v>
      </c>
      <c r="D6" s="3" t="s">
        <v>71</v>
      </c>
      <c r="E6" s="3" t="s">
        <v>11</v>
      </c>
      <c r="F6" s="3">
        <v>1</v>
      </c>
      <c r="G6" s="4">
        <v>249</v>
      </c>
      <c r="H6" s="3" t="s">
        <v>116</v>
      </c>
      <c r="I6" s="3" t="s">
        <v>116</v>
      </c>
      <c r="J6" s="3" t="s">
        <v>116</v>
      </c>
      <c r="K6" s="3" t="s">
        <v>116</v>
      </c>
      <c r="L6" s="3" t="s">
        <v>116</v>
      </c>
      <c r="M6" s="3" t="s">
        <v>116</v>
      </c>
      <c r="N6" s="3" t="s">
        <v>116</v>
      </c>
      <c r="O6" s="3" t="s">
        <v>116</v>
      </c>
      <c r="P6" s="4">
        <f t="shared" si="0"/>
        <v>249</v>
      </c>
      <c r="Q6" s="3" t="s">
        <v>117</v>
      </c>
      <c r="R6" s="3" t="s">
        <v>118</v>
      </c>
    </row>
    <row r="7" spans="1:18" ht="15" customHeight="1">
      <c r="A7" s="5" t="s">
        <v>128</v>
      </c>
      <c r="B7" s="6" t="s">
        <v>129</v>
      </c>
      <c r="C7" s="6">
        <v>1</v>
      </c>
      <c r="D7" s="6" t="s">
        <v>69</v>
      </c>
      <c r="E7" s="6" t="s">
        <v>10</v>
      </c>
      <c r="F7" s="6">
        <v>1</v>
      </c>
      <c r="G7" s="7">
        <v>125</v>
      </c>
      <c r="H7" s="6" t="s">
        <v>116</v>
      </c>
      <c r="I7" s="6" t="s">
        <v>116</v>
      </c>
      <c r="J7" s="6" t="s">
        <v>116</v>
      </c>
      <c r="K7" s="6" t="s">
        <v>116</v>
      </c>
      <c r="L7" s="6" t="s">
        <v>116</v>
      </c>
      <c r="M7" s="6" t="s">
        <v>116</v>
      </c>
      <c r="N7" s="6" t="s">
        <v>116</v>
      </c>
      <c r="O7" s="6" t="s">
        <v>116</v>
      </c>
      <c r="P7" s="14">
        <f t="shared" si="0"/>
        <v>125</v>
      </c>
      <c r="Q7" s="6" t="s">
        <v>117</v>
      </c>
      <c r="R7" s="6" t="s">
        <v>118</v>
      </c>
    </row>
    <row r="8" spans="1:18" ht="15" customHeight="1">
      <c r="A8" s="2" t="s">
        <v>130</v>
      </c>
      <c r="B8" s="3" t="s">
        <v>131</v>
      </c>
      <c r="C8" s="3">
        <v>3</v>
      </c>
      <c r="D8" s="3" t="s">
        <v>23</v>
      </c>
      <c r="E8" s="3" t="s">
        <v>11</v>
      </c>
      <c r="F8" s="3">
        <v>1</v>
      </c>
      <c r="G8" s="4">
        <v>449</v>
      </c>
      <c r="H8" s="3" t="s">
        <v>32</v>
      </c>
      <c r="I8" s="3" t="s">
        <v>11</v>
      </c>
      <c r="J8" s="3">
        <v>1</v>
      </c>
      <c r="K8" s="4">
        <v>299</v>
      </c>
      <c r="L8" s="3" t="s">
        <v>42</v>
      </c>
      <c r="M8" s="3" t="s">
        <v>10</v>
      </c>
      <c r="N8" s="3">
        <v>1</v>
      </c>
      <c r="O8" s="4">
        <v>175</v>
      </c>
      <c r="P8" s="4">
        <f t="shared" si="0"/>
        <v>923</v>
      </c>
      <c r="Q8" s="3" t="s">
        <v>117</v>
      </c>
      <c r="R8" s="3" t="s">
        <v>118</v>
      </c>
    </row>
    <row r="9" spans="1:18" ht="15" customHeight="1">
      <c r="A9" s="5" t="s">
        <v>132</v>
      </c>
      <c r="B9" s="6" t="s">
        <v>133</v>
      </c>
      <c r="C9" s="6">
        <v>3</v>
      </c>
      <c r="D9" s="6" t="s">
        <v>55</v>
      </c>
      <c r="E9" s="6" t="s">
        <v>10</v>
      </c>
      <c r="F9" s="6">
        <v>1</v>
      </c>
      <c r="G9" s="7">
        <v>99</v>
      </c>
      <c r="H9" s="6" t="s">
        <v>56</v>
      </c>
      <c r="I9" s="6" t="s">
        <v>11</v>
      </c>
      <c r="J9" s="6">
        <v>1</v>
      </c>
      <c r="K9" s="7">
        <v>249</v>
      </c>
      <c r="L9" s="6" t="s">
        <v>40</v>
      </c>
      <c r="M9" s="6" t="s">
        <v>10</v>
      </c>
      <c r="N9" s="6">
        <v>1</v>
      </c>
      <c r="O9" s="7">
        <v>299</v>
      </c>
      <c r="P9" s="14">
        <f t="shared" si="0"/>
        <v>647</v>
      </c>
      <c r="Q9" s="6" t="s">
        <v>117</v>
      </c>
      <c r="R9" s="6" t="s">
        <v>118</v>
      </c>
    </row>
    <row r="10" spans="1:18" ht="15" customHeight="1">
      <c r="A10" s="2" t="s">
        <v>134</v>
      </c>
      <c r="B10" s="3" t="s">
        <v>135</v>
      </c>
      <c r="C10" s="3">
        <v>1</v>
      </c>
      <c r="D10" s="3" t="s">
        <v>15</v>
      </c>
      <c r="E10" s="3" t="s">
        <v>11</v>
      </c>
      <c r="F10" s="3">
        <v>1</v>
      </c>
      <c r="G10" s="4">
        <v>349</v>
      </c>
      <c r="H10" s="3" t="s">
        <v>116</v>
      </c>
      <c r="I10" s="3" t="s">
        <v>116</v>
      </c>
      <c r="J10" s="3" t="s">
        <v>116</v>
      </c>
      <c r="K10" s="3" t="s">
        <v>116</v>
      </c>
      <c r="L10" s="3" t="s">
        <v>116</v>
      </c>
      <c r="M10" s="3" t="s">
        <v>116</v>
      </c>
      <c r="N10" s="3" t="s">
        <v>116</v>
      </c>
      <c r="O10" s="3" t="s">
        <v>116</v>
      </c>
      <c r="P10" s="4">
        <f t="shared" si="0"/>
        <v>349</v>
      </c>
      <c r="Q10" s="3" t="s">
        <v>117</v>
      </c>
      <c r="R10" s="3" t="s">
        <v>136</v>
      </c>
    </row>
    <row r="11" spans="1:18" ht="23.9" customHeight="1">
      <c r="A11" s="5" t="s">
        <v>137</v>
      </c>
      <c r="B11" s="6" t="s">
        <v>138</v>
      </c>
      <c r="C11" s="6">
        <v>3</v>
      </c>
      <c r="D11" s="6" t="s">
        <v>62</v>
      </c>
      <c r="E11" s="6" t="s">
        <v>19</v>
      </c>
      <c r="F11" s="6">
        <v>1</v>
      </c>
      <c r="G11" s="7">
        <v>175</v>
      </c>
      <c r="H11" s="6" t="s">
        <v>69</v>
      </c>
      <c r="I11" s="6" t="s">
        <v>10</v>
      </c>
      <c r="J11" s="6">
        <v>1</v>
      </c>
      <c r="K11" s="7">
        <v>125</v>
      </c>
      <c r="L11" s="6" t="s">
        <v>60</v>
      </c>
      <c r="M11" s="6" t="s">
        <v>10</v>
      </c>
      <c r="N11" s="6">
        <v>1</v>
      </c>
      <c r="O11" s="7">
        <v>120</v>
      </c>
      <c r="P11" s="14">
        <f t="shared" si="0"/>
        <v>420</v>
      </c>
      <c r="Q11" s="6" t="s">
        <v>117</v>
      </c>
      <c r="R11" s="6" t="s">
        <v>118</v>
      </c>
    </row>
    <row r="12" spans="1:18" ht="15" customHeight="1">
      <c r="A12" s="2" t="s">
        <v>139</v>
      </c>
      <c r="B12" s="3" t="s">
        <v>140</v>
      </c>
      <c r="C12" s="3">
        <v>2</v>
      </c>
      <c r="D12" s="3" t="s">
        <v>25</v>
      </c>
      <c r="E12" s="3" t="s">
        <v>11</v>
      </c>
      <c r="F12" s="3">
        <v>1</v>
      </c>
      <c r="G12" s="4">
        <v>249</v>
      </c>
      <c r="H12" s="3" t="s">
        <v>9</v>
      </c>
      <c r="I12" s="3" t="s">
        <v>10</v>
      </c>
      <c r="J12" s="3">
        <v>1</v>
      </c>
      <c r="K12" s="4">
        <v>175</v>
      </c>
      <c r="L12" s="3" t="s">
        <v>116</v>
      </c>
      <c r="M12" s="3" t="s">
        <v>116</v>
      </c>
      <c r="N12" s="3" t="s">
        <v>116</v>
      </c>
      <c r="O12" s="3" t="s">
        <v>116</v>
      </c>
      <c r="P12" s="4">
        <f t="shared" si="0"/>
        <v>424</v>
      </c>
      <c r="Q12" s="3" t="s">
        <v>117</v>
      </c>
      <c r="R12" s="3" t="s">
        <v>118</v>
      </c>
    </row>
    <row r="13" spans="1:18" ht="15" customHeight="1">
      <c r="A13" s="5" t="s">
        <v>141</v>
      </c>
      <c r="B13" s="6" t="s">
        <v>142</v>
      </c>
      <c r="C13" s="6">
        <v>2</v>
      </c>
      <c r="D13" s="6" t="s">
        <v>60</v>
      </c>
      <c r="E13" s="6" t="s">
        <v>10</v>
      </c>
      <c r="F13" s="6">
        <v>1</v>
      </c>
      <c r="G13" s="7">
        <v>120</v>
      </c>
      <c r="H13" s="6" t="s">
        <v>51</v>
      </c>
      <c r="I13" s="6" t="s">
        <v>11</v>
      </c>
      <c r="J13" s="6">
        <v>1</v>
      </c>
      <c r="K13" s="7">
        <v>399</v>
      </c>
      <c r="L13" s="6" t="s">
        <v>116</v>
      </c>
      <c r="M13" s="6" t="s">
        <v>116</v>
      </c>
      <c r="N13" s="6" t="s">
        <v>116</v>
      </c>
      <c r="O13" s="6" t="s">
        <v>116</v>
      </c>
      <c r="P13" s="14">
        <f t="shared" si="0"/>
        <v>519</v>
      </c>
      <c r="Q13" s="6" t="s">
        <v>117</v>
      </c>
      <c r="R13" s="6" t="s">
        <v>118</v>
      </c>
    </row>
    <row r="14" spans="1:18" ht="15" customHeight="1">
      <c r="A14" s="2" t="s">
        <v>143</v>
      </c>
      <c r="B14" s="3" t="s">
        <v>144</v>
      </c>
      <c r="C14" s="3">
        <v>1</v>
      </c>
      <c r="D14" s="3" t="s">
        <v>55</v>
      </c>
      <c r="E14" s="3" t="s">
        <v>10</v>
      </c>
      <c r="F14" s="3">
        <v>2</v>
      </c>
      <c r="G14" s="4">
        <v>99</v>
      </c>
      <c r="H14" s="3" t="s">
        <v>116</v>
      </c>
      <c r="I14" s="3" t="s">
        <v>116</v>
      </c>
      <c r="J14" s="3" t="s">
        <v>116</v>
      </c>
      <c r="K14" s="3" t="s">
        <v>116</v>
      </c>
      <c r="L14" s="3" t="s">
        <v>116</v>
      </c>
      <c r="M14" s="3" t="s">
        <v>116</v>
      </c>
      <c r="N14" s="3" t="s">
        <v>116</v>
      </c>
      <c r="O14" s="3" t="s">
        <v>116</v>
      </c>
      <c r="P14" s="4">
        <f t="shared" si="0"/>
        <v>198</v>
      </c>
      <c r="Q14" s="3" t="s">
        <v>145</v>
      </c>
      <c r="R14" s="3" t="s">
        <v>118</v>
      </c>
    </row>
    <row r="15" spans="1:18" ht="23.9" customHeight="1">
      <c r="A15" s="5" t="s">
        <v>146</v>
      </c>
      <c r="B15" s="6" t="s">
        <v>147</v>
      </c>
      <c r="C15" s="6">
        <v>3</v>
      </c>
      <c r="D15" s="6" t="s">
        <v>42</v>
      </c>
      <c r="E15" s="6" t="s">
        <v>10</v>
      </c>
      <c r="F15" s="6">
        <v>1</v>
      </c>
      <c r="G15" s="7">
        <v>175</v>
      </c>
      <c r="H15" s="6" t="s">
        <v>71</v>
      </c>
      <c r="I15" s="6" t="s">
        <v>11</v>
      </c>
      <c r="J15" s="6">
        <v>1</v>
      </c>
      <c r="K15" s="7">
        <v>249</v>
      </c>
      <c r="L15" s="6" t="s">
        <v>62</v>
      </c>
      <c r="M15" s="6" t="s">
        <v>19</v>
      </c>
      <c r="N15" s="6">
        <v>1</v>
      </c>
      <c r="O15" s="7">
        <v>175</v>
      </c>
      <c r="P15" s="14">
        <f t="shared" si="0"/>
        <v>599</v>
      </c>
      <c r="Q15" s="6" t="s">
        <v>117</v>
      </c>
      <c r="R15" s="6" t="s">
        <v>118</v>
      </c>
    </row>
    <row r="16" spans="1:18" ht="15" customHeight="1">
      <c r="A16" s="2" t="s">
        <v>148</v>
      </c>
      <c r="B16" s="3" t="s">
        <v>149</v>
      </c>
      <c r="C16" s="3">
        <v>2</v>
      </c>
      <c r="D16" s="3" t="s">
        <v>40</v>
      </c>
      <c r="E16" s="3" t="s">
        <v>10</v>
      </c>
      <c r="F16" s="3">
        <v>1</v>
      </c>
      <c r="G16" s="4">
        <v>299</v>
      </c>
      <c r="H16" s="3" t="s">
        <v>55</v>
      </c>
      <c r="I16" s="3" t="s">
        <v>10</v>
      </c>
      <c r="J16" s="3">
        <v>1</v>
      </c>
      <c r="K16" s="4">
        <v>99</v>
      </c>
      <c r="L16" s="3" t="s">
        <v>116</v>
      </c>
      <c r="M16" s="3" t="s">
        <v>116</v>
      </c>
      <c r="N16" s="3" t="s">
        <v>116</v>
      </c>
      <c r="O16" s="3" t="s">
        <v>116</v>
      </c>
      <c r="P16" s="4">
        <f t="shared" si="0"/>
        <v>398</v>
      </c>
      <c r="Q16" s="3" t="s">
        <v>123</v>
      </c>
      <c r="R16" s="3" t="s">
        <v>118</v>
      </c>
    </row>
    <row r="17" spans="1:18" ht="15" customHeight="1">
      <c r="A17" s="5" t="s">
        <v>150</v>
      </c>
      <c r="B17" s="6" t="s">
        <v>151</v>
      </c>
      <c r="C17" s="6">
        <v>1</v>
      </c>
      <c r="D17" s="6" t="s">
        <v>23</v>
      </c>
      <c r="E17" s="6" t="s">
        <v>11</v>
      </c>
      <c r="F17" s="6">
        <v>1</v>
      </c>
      <c r="G17" s="7">
        <v>449</v>
      </c>
      <c r="H17" s="6" t="s">
        <v>116</v>
      </c>
      <c r="I17" s="6" t="s">
        <v>116</v>
      </c>
      <c r="J17" s="6" t="s">
        <v>116</v>
      </c>
      <c r="K17" s="6" t="s">
        <v>116</v>
      </c>
      <c r="L17" s="6" t="s">
        <v>116</v>
      </c>
      <c r="M17" s="6" t="s">
        <v>116</v>
      </c>
      <c r="N17" s="6" t="s">
        <v>116</v>
      </c>
      <c r="O17" s="6" t="s">
        <v>116</v>
      </c>
      <c r="P17" s="14">
        <f t="shared" si="0"/>
        <v>449</v>
      </c>
      <c r="Q17" s="6" t="s">
        <v>117</v>
      </c>
      <c r="R17" s="6" t="s">
        <v>118</v>
      </c>
    </row>
    <row r="18" spans="1:18" ht="15" customHeight="1">
      <c r="A18" s="2" t="s">
        <v>152</v>
      </c>
      <c r="B18" s="3" t="s">
        <v>153</v>
      </c>
      <c r="C18" s="3">
        <v>3</v>
      </c>
      <c r="D18" s="3" t="s">
        <v>27</v>
      </c>
      <c r="E18" s="3" t="s">
        <v>10</v>
      </c>
      <c r="F18" s="3">
        <v>2</v>
      </c>
      <c r="G18" s="4">
        <v>175</v>
      </c>
      <c r="H18" s="3" t="s">
        <v>29</v>
      </c>
      <c r="I18" s="3" t="s">
        <v>11</v>
      </c>
      <c r="J18" s="3">
        <v>1</v>
      </c>
      <c r="K18" s="4">
        <v>399</v>
      </c>
      <c r="L18" s="3" t="s">
        <v>9</v>
      </c>
      <c r="M18" s="3" t="s">
        <v>10</v>
      </c>
      <c r="N18" s="3">
        <v>1</v>
      </c>
      <c r="O18" s="4">
        <v>175</v>
      </c>
      <c r="P18" s="4">
        <f t="shared" si="0"/>
        <v>924</v>
      </c>
      <c r="Q18" s="3" t="s">
        <v>117</v>
      </c>
      <c r="R18" s="3" t="s">
        <v>118</v>
      </c>
    </row>
    <row r="19" spans="1:18" ht="15" customHeight="1">
      <c r="A19" s="5" t="s">
        <v>154</v>
      </c>
      <c r="B19" s="6" t="s">
        <v>155</v>
      </c>
      <c r="C19" s="6">
        <v>2</v>
      </c>
      <c r="D19" s="6" t="s">
        <v>15</v>
      </c>
      <c r="E19" s="6" t="s">
        <v>11</v>
      </c>
      <c r="F19" s="6">
        <v>1</v>
      </c>
      <c r="G19" s="7">
        <v>349</v>
      </c>
      <c r="H19" s="6" t="s">
        <v>60</v>
      </c>
      <c r="I19" s="6" t="s">
        <v>10</v>
      </c>
      <c r="J19" s="6">
        <v>1</v>
      </c>
      <c r="K19" s="7">
        <v>120</v>
      </c>
      <c r="L19" s="6" t="s">
        <v>116</v>
      </c>
      <c r="M19" s="6" t="s">
        <v>116</v>
      </c>
      <c r="N19" s="6" t="s">
        <v>116</v>
      </c>
      <c r="O19" s="6" t="s">
        <v>116</v>
      </c>
      <c r="P19" s="14">
        <f t="shared" si="0"/>
        <v>469</v>
      </c>
      <c r="Q19" s="6" t="s">
        <v>117</v>
      </c>
      <c r="R19" s="6" t="s">
        <v>118</v>
      </c>
    </row>
    <row r="20" spans="1:18" ht="23.9" customHeight="1">
      <c r="A20" s="2" t="s">
        <v>156</v>
      </c>
      <c r="B20" s="3" t="s">
        <v>157</v>
      </c>
      <c r="C20" s="3">
        <v>1</v>
      </c>
      <c r="D20" s="3" t="s">
        <v>62</v>
      </c>
      <c r="E20" s="3" t="s">
        <v>19</v>
      </c>
      <c r="F20" s="3">
        <v>1</v>
      </c>
      <c r="G20" s="4">
        <v>175</v>
      </c>
      <c r="H20" s="3" t="s">
        <v>116</v>
      </c>
      <c r="I20" s="3" t="s">
        <v>116</v>
      </c>
      <c r="J20" s="3" t="s">
        <v>116</v>
      </c>
      <c r="K20" s="3" t="s">
        <v>116</v>
      </c>
      <c r="L20" s="3" t="s">
        <v>116</v>
      </c>
      <c r="M20" s="3" t="s">
        <v>116</v>
      </c>
      <c r="N20" s="3" t="s">
        <v>116</v>
      </c>
      <c r="O20" s="3" t="s">
        <v>116</v>
      </c>
      <c r="P20" s="4">
        <f t="shared" si="0"/>
        <v>175</v>
      </c>
      <c r="Q20" s="3" t="s">
        <v>117</v>
      </c>
      <c r="R20" s="3" t="s">
        <v>118</v>
      </c>
    </row>
    <row r="21" spans="1:18" ht="15" customHeight="1">
      <c r="A21" s="5" t="s">
        <v>158</v>
      </c>
      <c r="B21" s="6" t="s">
        <v>159</v>
      </c>
      <c r="C21" s="6">
        <v>3</v>
      </c>
      <c r="D21" s="6" t="s">
        <v>32</v>
      </c>
      <c r="E21" s="6" t="s">
        <v>11</v>
      </c>
      <c r="F21" s="6">
        <v>1</v>
      </c>
      <c r="G21" s="7">
        <v>299</v>
      </c>
      <c r="H21" s="6" t="s">
        <v>65</v>
      </c>
      <c r="I21" s="6" t="s">
        <v>10</v>
      </c>
      <c r="J21" s="6">
        <v>1</v>
      </c>
      <c r="K21" s="7">
        <v>299</v>
      </c>
      <c r="L21" s="6" t="s">
        <v>55</v>
      </c>
      <c r="M21" s="6" t="s">
        <v>10</v>
      </c>
      <c r="N21" s="6">
        <v>1</v>
      </c>
      <c r="O21" s="7">
        <v>99</v>
      </c>
      <c r="P21" s="14">
        <f t="shared" si="0"/>
        <v>697</v>
      </c>
      <c r="Q21" s="6" t="s">
        <v>123</v>
      </c>
      <c r="R21" s="6" t="s">
        <v>118</v>
      </c>
    </row>
    <row r="22" spans="1:18" ht="15" customHeight="1">
      <c r="A22" s="2" t="s">
        <v>160</v>
      </c>
      <c r="B22" s="3" t="s">
        <v>161</v>
      </c>
      <c r="C22" s="3">
        <v>2</v>
      </c>
      <c r="D22" s="3" t="s">
        <v>59</v>
      </c>
      <c r="E22" s="3" t="s">
        <v>10</v>
      </c>
      <c r="F22" s="3">
        <v>1</v>
      </c>
      <c r="G22" s="4">
        <v>249</v>
      </c>
      <c r="H22" s="3" t="s">
        <v>56</v>
      </c>
      <c r="I22" s="3" t="s">
        <v>11</v>
      </c>
      <c r="J22" s="3">
        <v>1</v>
      </c>
      <c r="K22" s="4">
        <v>249</v>
      </c>
      <c r="L22" s="3" t="s">
        <v>116</v>
      </c>
      <c r="M22" s="3" t="s">
        <v>116</v>
      </c>
      <c r="N22" s="3" t="s">
        <v>116</v>
      </c>
      <c r="O22" s="3" t="s">
        <v>116</v>
      </c>
      <c r="P22" s="4">
        <f t="shared" si="0"/>
        <v>498</v>
      </c>
      <c r="Q22" s="3" t="s">
        <v>117</v>
      </c>
      <c r="R22" s="3" t="s">
        <v>118</v>
      </c>
    </row>
    <row r="23" spans="1:18" ht="15" customHeight="1">
      <c r="A23" s="5" t="s">
        <v>162</v>
      </c>
      <c r="B23" s="6" t="s">
        <v>163</v>
      </c>
      <c r="C23" s="6">
        <v>2</v>
      </c>
      <c r="D23" s="6" t="s">
        <v>21</v>
      </c>
      <c r="E23" s="6" t="s">
        <v>16</v>
      </c>
      <c r="F23" s="6">
        <v>1</v>
      </c>
      <c r="G23" s="7">
        <v>199</v>
      </c>
      <c r="H23" s="6" t="s">
        <v>42</v>
      </c>
      <c r="I23" s="6" t="s">
        <v>10</v>
      </c>
      <c r="J23" s="6">
        <v>1</v>
      </c>
      <c r="K23" s="7">
        <v>175</v>
      </c>
      <c r="L23" s="6" t="s">
        <v>116</v>
      </c>
      <c r="M23" s="6" t="s">
        <v>116</v>
      </c>
      <c r="N23" s="6" t="s">
        <v>116</v>
      </c>
      <c r="O23" s="6" t="s">
        <v>116</v>
      </c>
      <c r="P23" s="14">
        <f t="shared" si="0"/>
        <v>374</v>
      </c>
      <c r="Q23" s="6" t="s">
        <v>117</v>
      </c>
      <c r="R23" s="6" t="s">
        <v>118</v>
      </c>
    </row>
    <row r="24" spans="1:18" ht="15" customHeight="1">
      <c r="A24" s="2" t="s">
        <v>164</v>
      </c>
      <c r="B24" s="3" t="s">
        <v>165</v>
      </c>
      <c r="C24" s="3">
        <v>1</v>
      </c>
      <c r="D24" s="3" t="s">
        <v>37</v>
      </c>
      <c r="E24" s="3" t="s">
        <v>16</v>
      </c>
      <c r="F24" s="3">
        <v>1</v>
      </c>
      <c r="G24" s="4">
        <v>249</v>
      </c>
      <c r="H24" s="3" t="s">
        <v>116</v>
      </c>
      <c r="I24" s="3" t="s">
        <v>116</v>
      </c>
      <c r="J24" s="3" t="s">
        <v>116</v>
      </c>
      <c r="K24" s="3" t="s">
        <v>116</v>
      </c>
      <c r="L24" s="3" t="s">
        <v>116</v>
      </c>
      <c r="M24" s="3" t="s">
        <v>116</v>
      </c>
      <c r="N24" s="3" t="s">
        <v>116</v>
      </c>
      <c r="O24" s="3" t="s">
        <v>116</v>
      </c>
      <c r="P24" s="4">
        <f t="shared" si="0"/>
        <v>249</v>
      </c>
      <c r="Q24" s="3" t="s">
        <v>145</v>
      </c>
      <c r="R24" s="3" t="s">
        <v>118</v>
      </c>
    </row>
    <row r="25" spans="1:18" ht="15" customHeight="1">
      <c r="A25" s="5" t="s">
        <v>166</v>
      </c>
      <c r="B25" s="6" t="s">
        <v>167</v>
      </c>
      <c r="C25" s="6">
        <v>3</v>
      </c>
      <c r="D25" s="6" t="s">
        <v>32</v>
      </c>
      <c r="E25" s="6" t="s">
        <v>11</v>
      </c>
      <c r="F25" s="6">
        <v>1</v>
      </c>
      <c r="G25" s="7">
        <v>299</v>
      </c>
      <c r="H25" s="6" t="s">
        <v>60</v>
      </c>
      <c r="I25" s="6" t="s">
        <v>10</v>
      </c>
      <c r="J25" s="6">
        <v>1</v>
      </c>
      <c r="K25" s="7">
        <v>120</v>
      </c>
      <c r="L25" s="6" t="s">
        <v>34</v>
      </c>
      <c r="M25" s="6" t="s">
        <v>16</v>
      </c>
      <c r="N25" s="6">
        <v>1</v>
      </c>
      <c r="O25" s="7">
        <v>225</v>
      </c>
      <c r="P25" s="14">
        <f t="shared" si="0"/>
        <v>644</v>
      </c>
      <c r="Q25" s="6" t="s">
        <v>117</v>
      </c>
      <c r="R25" s="6" t="s">
        <v>118</v>
      </c>
    </row>
    <row r="26" spans="1:18" ht="15" customHeight="1">
      <c r="A26" s="2" t="s">
        <v>168</v>
      </c>
      <c r="B26" s="3" t="s">
        <v>169</v>
      </c>
      <c r="C26" s="3">
        <v>2</v>
      </c>
      <c r="D26" s="3" t="s">
        <v>27</v>
      </c>
      <c r="E26" s="3" t="s">
        <v>10</v>
      </c>
      <c r="F26" s="3">
        <v>2</v>
      </c>
      <c r="G26" s="4">
        <v>175</v>
      </c>
      <c r="H26" s="3" t="s">
        <v>21</v>
      </c>
      <c r="I26" s="3" t="s">
        <v>16</v>
      </c>
      <c r="J26" s="3">
        <v>1</v>
      </c>
      <c r="K26" s="4">
        <v>199</v>
      </c>
      <c r="L26" s="3" t="s">
        <v>116</v>
      </c>
      <c r="M26" s="3" t="s">
        <v>116</v>
      </c>
      <c r="N26" s="3" t="s">
        <v>116</v>
      </c>
      <c r="O26" s="3" t="s">
        <v>116</v>
      </c>
      <c r="P26" s="4">
        <f t="shared" si="0"/>
        <v>549</v>
      </c>
      <c r="Q26" s="3" t="s">
        <v>117</v>
      </c>
      <c r="R26" s="3" t="s">
        <v>118</v>
      </c>
    </row>
    <row r="27" spans="1:18" ht="15" customHeight="1">
      <c r="A27" s="5" t="s">
        <v>170</v>
      </c>
      <c r="B27" s="6" t="s">
        <v>171</v>
      </c>
      <c r="C27" s="6">
        <v>1</v>
      </c>
      <c r="D27" s="6" t="s">
        <v>45</v>
      </c>
      <c r="E27" s="6" t="s">
        <v>16</v>
      </c>
      <c r="F27" s="6">
        <v>1</v>
      </c>
      <c r="G27" s="7">
        <v>279</v>
      </c>
      <c r="H27" s="6" t="s">
        <v>116</v>
      </c>
      <c r="I27" s="6" t="s">
        <v>116</v>
      </c>
      <c r="J27" s="6" t="s">
        <v>116</v>
      </c>
      <c r="K27" s="6" t="s">
        <v>116</v>
      </c>
      <c r="L27" s="6" t="s">
        <v>116</v>
      </c>
      <c r="M27" s="6" t="s">
        <v>116</v>
      </c>
      <c r="N27" s="6" t="s">
        <v>116</v>
      </c>
      <c r="O27" s="6" t="s">
        <v>116</v>
      </c>
      <c r="P27" s="14">
        <f t="shared" si="0"/>
        <v>279</v>
      </c>
      <c r="Q27" s="6" t="s">
        <v>117</v>
      </c>
      <c r="R27" s="6" t="s">
        <v>118</v>
      </c>
    </row>
    <row r="28" spans="1:18" ht="15" customHeight="1">
      <c r="A28" s="2" t="s">
        <v>172</v>
      </c>
      <c r="B28" s="3" t="s">
        <v>173</v>
      </c>
      <c r="C28" s="3">
        <v>3</v>
      </c>
      <c r="D28" s="3" t="s">
        <v>29</v>
      </c>
      <c r="E28" s="3" t="s">
        <v>11</v>
      </c>
      <c r="F28" s="3">
        <v>1</v>
      </c>
      <c r="G28" s="4">
        <v>399</v>
      </c>
      <c r="H28" s="3" t="s">
        <v>55</v>
      </c>
      <c r="I28" s="3" t="s">
        <v>10</v>
      </c>
      <c r="J28" s="3">
        <v>1</v>
      </c>
      <c r="K28" s="4">
        <v>99</v>
      </c>
      <c r="L28" s="3" t="s">
        <v>34</v>
      </c>
      <c r="M28" s="3" t="s">
        <v>16</v>
      </c>
      <c r="N28" s="3">
        <v>1</v>
      </c>
      <c r="O28" s="4">
        <v>225</v>
      </c>
      <c r="P28" s="4">
        <f t="shared" si="0"/>
        <v>723</v>
      </c>
      <c r="Q28" s="3" t="s">
        <v>117</v>
      </c>
      <c r="R28" s="3" t="s">
        <v>118</v>
      </c>
    </row>
    <row r="29" spans="1:18" ht="15" customHeight="1">
      <c r="A29" s="5" t="s">
        <v>174</v>
      </c>
      <c r="B29" s="6" t="s">
        <v>175</v>
      </c>
      <c r="C29" s="6">
        <v>2</v>
      </c>
      <c r="D29" s="6" t="s">
        <v>40</v>
      </c>
      <c r="E29" s="6" t="s">
        <v>10</v>
      </c>
      <c r="F29" s="6">
        <v>1</v>
      </c>
      <c r="G29" s="7">
        <v>299</v>
      </c>
      <c r="H29" s="6" t="s">
        <v>37</v>
      </c>
      <c r="I29" s="6" t="s">
        <v>16</v>
      </c>
      <c r="J29" s="6">
        <v>1</v>
      </c>
      <c r="K29" s="7">
        <v>249</v>
      </c>
      <c r="L29" s="6" t="s">
        <v>116</v>
      </c>
      <c r="M29" s="6" t="s">
        <v>116</v>
      </c>
      <c r="N29" s="6" t="s">
        <v>116</v>
      </c>
      <c r="O29" s="6" t="s">
        <v>116</v>
      </c>
      <c r="P29" s="14">
        <f t="shared" si="0"/>
        <v>548</v>
      </c>
      <c r="Q29" s="6" t="s">
        <v>117</v>
      </c>
      <c r="R29" s="6" t="s">
        <v>118</v>
      </c>
    </row>
    <row r="30" spans="1:18" ht="15" customHeight="1">
      <c r="A30" s="2" t="s">
        <v>176</v>
      </c>
      <c r="B30" s="3" t="s">
        <v>177</v>
      </c>
      <c r="C30" s="3">
        <v>1</v>
      </c>
      <c r="D30" s="3" t="s">
        <v>21</v>
      </c>
      <c r="E30" s="3" t="s">
        <v>16</v>
      </c>
      <c r="F30" s="3">
        <v>2</v>
      </c>
      <c r="G30" s="4">
        <v>199</v>
      </c>
      <c r="H30" s="3" t="s">
        <v>116</v>
      </c>
      <c r="I30" s="3" t="s">
        <v>116</v>
      </c>
      <c r="J30" s="3" t="s">
        <v>116</v>
      </c>
      <c r="K30" s="3" t="s">
        <v>116</v>
      </c>
      <c r="L30" s="3" t="s">
        <v>116</v>
      </c>
      <c r="M30" s="3" t="s">
        <v>116</v>
      </c>
      <c r="N30" s="3" t="s">
        <v>116</v>
      </c>
      <c r="O30" s="3" t="s">
        <v>116</v>
      </c>
      <c r="P30" s="4">
        <f t="shared" si="0"/>
        <v>398</v>
      </c>
      <c r="Q30" s="3" t="s">
        <v>117</v>
      </c>
      <c r="R30" s="3" t="s">
        <v>118</v>
      </c>
    </row>
    <row r="31" spans="1:18" ht="15" customHeight="1">
      <c r="A31" s="5" t="s">
        <v>178</v>
      </c>
      <c r="B31" s="6" t="s">
        <v>179</v>
      </c>
      <c r="C31" s="6">
        <v>3</v>
      </c>
      <c r="D31" s="6" t="s">
        <v>23</v>
      </c>
      <c r="E31" s="6" t="s">
        <v>11</v>
      </c>
      <c r="F31" s="6">
        <v>1</v>
      </c>
      <c r="G31" s="7">
        <v>449</v>
      </c>
      <c r="H31" s="6" t="s">
        <v>9</v>
      </c>
      <c r="I31" s="6" t="s">
        <v>10</v>
      </c>
      <c r="J31" s="6">
        <v>1</v>
      </c>
      <c r="K31" s="7">
        <v>175</v>
      </c>
      <c r="L31" s="6" t="s">
        <v>45</v>
      </c>
      <c r="M31" s="6" t="s">
        <v>16</v>
      </c>
      <c r="N31" s="6">
        <v>1</v>
      </c>
      <c r="O31" s="7">
        <v>279</v>
      </c>
      <c r="P31" s="14">
        <f t="shared" si="0"/>
        <v>903</v>
      </c>
      <c r="Q31" s="6" t="s">
        <v>123</v>
      </c>
      <c r="R31" s="6" t="s">
        <v>118</v>
      </c>
    </row>
    <row r="32" spans="1:18" ht="23.9" customHeight="1">
      <c r="A32" s="2" t="s">
        <v>180</v>
      </c>
      <c r="B32" s="3" t="s">
        <v>181</v>
      </c>
      <c r="C32" s="3">
        <v>2</v>
      </c>
      <c r="D32" s="3" t="s">
        <v>62</v>
      </c>
      <c r="E32" s="3" t="s">
        <v>19</v>
      </c>
      <c r="F32" s="3">
        <v>1</v>
      </c>
      <c r="G32" s="4">
        <v>175</v>
      </c>
      <c r="H32" s="3" t="s">
        <v>34</v>
      </c>
      <c r="I32" s="3" t="s">
        <v>16</v>
      </c>
      <c r="J32" s="3">
        <v>1</v>
      </c>
      <c r="K32" s="4">
        <v>225</v>
      </c>
      <c r="L32" s="3" t="s">
        <v>116</v>
      </c>
      <c r="M32" s="3" t="s">
        <v>116</v>
      </c>
      <c r="N32" s="3" t="s">
        <v>116</v>
      </c>
      <c r="O32" s="3" t="s">
        <v>116</v>
      </c>
      <c r="P32" s="4">
        <f t="shared" si="0"/>
        <v>400</v>
      </c>
      <c r="Q32" s="3" t="s">
        <v>117</v>
      </c>
      <c r="R32" s="3" t="s">
        <v>118</v>
      </c>
    </row>
    <row r="33" spans="1:18" ht="15" customHeight="1">
      <c r="A33" s="5" t="s">
        <v>182</v>
      </c>
      <c r="B33" s="6" t="s">
        <v>183</v>
      </c>
      <c r="C33" s="6">
        <v>2</v>
      </c>
      <c r="D33" s="6" t="s">
        <v>57</v>
      </c>
      <c r="E33" s="6" t="s">
        <v>11</v>
      </c>
      <c r="F33" s="6">
        <v>1</v>
      </c>
      <c r="G33" s="7">
        <v>249</v>
      </c>
      <c r="H33" s="6" t="s">
        <v>15</v>
      </c>
      <c r="I33" s="6" t="s">
        <v>11</v>
      </c>
      <c r="J33" s="6">
        <v>1</v>
      </c>
      <c r="K33" s="7">
        <v>349</v>
      </c>
      <c r="L33" s="6" t="s">
        <v>116</v>
      </c>
      <c r="M33" s="6" t="s">
        <v>116</v>
      </c>
      <c r="N33" s="6" t="s">
        <v>116</v>
      </c>
      <c r="O33" s="6" t="s">
        <v>116</v>
      </c>
      <c r="P33" s="14">
        <f t="shared" si="0"/>
        <v>598</v>
      </c>
      <c r="Q33" s="6" t="s">
        <v>117</v>
      </c>
      <c r="R33" s="6" t="s">
        <v>118</v>
      </c>
    </row>
    <row r="34" spans="1:18" ht="23.9" customHeight="1">
      <c r="A34" s="2" t="s">
        <v>184</v>
      </c>
      <c r="B34" s="3" t="s">
        <v>185</v>
      </c>
      <c r="C34" s="3">
        <v>3</v>
      </c>
      <c r="D34" s="3" t="s">
        <v>83</v>
      </c>
      <c r="E34" s="3" t="s">
        <v>10</v>
      </c>
      <c r="F34" s="3">
        <v>1</v>
      </c>
      <c r="G34" s="4">
        <v>350</v>
      </c>
      <c r="H34" s="3" t="s">
        <v>47</v>
      </c>
      <c r="I34" s="3" t="s">
        <v>10</v>
      </c>
      <c r="J34" s="3">
        <v>1</v>
      </c>
      <c r="K34" s="4">
        <v>275</v>
      </c>
      <c r="L34" s="3" t="s">
        <v>41</v>
      </c>
      <c r="M34" s="3" t="s">
        <v>10</v>
      </c>
      <c r="N34" s="3">
        <v>1</v>
      </c>
      <c r="O34" s="4">
        <v>299</v>
      </c>
      <c r="P34" s="4">
        <f t="shared" ref="P34:P65" si="1">IFERROR(F34*G34,0)+IFERROR(J34*K34,0)+IFERROR(N34*O34,0)</f>
        <v>924</v>
      </c>
      <c r="Q34" s="3" t="s">
        <v>117</v>
      </c>
      <c r="R34" s="3" t="s">
        <v>118</v>
      </c>
    </row>
    <row r="35" spans="1:18" ht="15" customHeight="1">
      <c r="A35" s="5" t="s">
        <v>186</v>
      </c>
      <c r="B35" s="6" t="s">
        <v>187</v>
      </c>
      <c r="C35" s="6">
        <v>2</v>
      </c>
      <c r="D35" s="6" t="s">
        <v>56</v>
      </c>
      <c r="E35" s="6" t="s">
        <v>11</v>
      </c>
      <c r="F35" s="6">
        <v>1</v>
      </c>
      <c r="G35" s="7">
        <v>249</v>
      </c>
      <c r="H35" s="6" t="s">
        <v>18</v>
      </c>
      <c r="I35" s="6" t="s">
        <v>11</v>
      </c>
      <c r="J35" s="6">
        <v>1</v>
      </c>
      <c r="K35" s="7">
        <v>349</v>
      </c>
      <c r="L35" s="6" t="s">
        <v>116</v>
      </c>
      <c r="M35" s="6" t="s">
        <v>116</v>
      </c>
      <c r="N35" s="6" t="s">
        <v>116</v>
      </c>
      <c r="O35" s="6" t="s">
        <v>116</v>
      </c>
      <c r="P35" s="14">
        <f t="shared" si="1"/>
        <v>598</v>
      </c>
      <c r="Q35" s="6" t="s">
        <v>117</v>
      </c>
      <c r="R35" s="6" t="s">
        <v>118</v>
      </c>
    </row>
    <row r="36" spans="1:18" ht="15" customHeight="1">
      <c r="A36" s="2" t="s">
        <v>188</v>
      </c>
      <c r="B36" s="3" t="s">
        <v>189</v>
      </c>
      <c r="C36" s="3">
        <v>1</v>
      </c>
      <c r="D36" s="3" t="s">
        <v>55</v>
      </c>
      <c r="E36" s="3" t="s">
        <v>10</v>
      </c>
      <c r="F36" s="3">
        <v>1</v>
      </c>
      <c r="G36" s="4">
        <v>99</v>
      </c>
      <c r="H36" s="3" t="s">
        <v>116</v>
      </c>
      <c r="I36" s="3" t="s">
        <v>116</v>
      </c>
      <c r="J36" s="3" t="s">
        <v>116</v>
      </c>
      <c r="K36" s="3" t="s">
        <v>116</v>
      </c>
      <c r="L36" s="3" t="s">
        <v>116</v>
      </c>
      <c r="M36" s="3" t="s">
        <v>116</v>
      </c>
      <c r="N36" s="3" t="s">
        <v>116</v>
      </c>
      <c r="O36" s="3" t="s">
        <v>116</v>
      </c>
      <c r="P36" s="4">
        <f t="shared" si="1"/>
        <v>99</v>
      </c>
      <c r="Q36" s="3" t="s">
        <v>117</v>
      </c>
      <c r="R36" s="3" t="s">
        <v>118</v>
      </c>
    </row>
    <row r="37" spans="1:18" ht="15" customHeight="1">
      <c r="A37" s="5" t="s">
        <v>190</v>
      </c>
      <c r="B37" s="6" t="s">
        <v>191</v>
      </c>
      <c r="C37" s="6">
        <v>1</v>
      </c>
      <c r="D37" s="6" t="s">
        <v>25</v>
      </c>
      <c r="E37" s="6" t="s">
        <v>11</v>
      </c>
      <c r="F37" s="6">
        <v>1</v>
      </c>
      <c r="G37" s="7">
        <v>249</v>
      </c>
      <c r="H37" s="6" t="s">
        <v>116</v>
      </c>
      <c r="I37" s="6" t="s">
        <v>116</v>
      </c>
      <c r="J37" s="6" t="s">
        <v>116</v>
      </c>
      <c r="K37" s="6" t="s">
        <v>116</v>
      </c>
      <c r="L37" s="6" t="s">
        <v>116</v>
      </c>
      <c r="M37" s="6" t="s">
        <v>116</v>
      </c>
      <c r="N37" s="6" t="s">
        <v>116</v>
      </c>
      <c r="O37" s="6" t="s">
        <v>116</v>
      </c>
      <c r="P37" s="14">
        <f t="shared" si="1"/>
        <v>249</v>
      </c>
      <c r="Q37" s="6" t="s">
        <v>117</v>
      </c>
      <c r="R37" s="6" t="s">
        <v>118</v>
      </c>
    </row>
    <row r="38" spans="1:18" ht="23.9" customHeight="1">
      <c r="A38" s="2" t="s">
        <v>192</v>
      </c>
      <c r="B38" s="3" t="s">
        <v>193</v>
      </c>
      <c r="C38" s="3">
        <v>3</v>
      </c>
      <c r="D38" s="3" t="s">
        <v>58</v>
      </c>
      <c r="E38" s="3" t="s">
        <v>11</v>
      </c>
      <c r="F38" s="3">
        <v>1</v>
      </c>
      <c r="G38" s="4">
        <v>249</v>
      </c>
      <c r="H38" s="3" t="s">
        <v>69</v>
      </c>
      <c r="I38" s="3" t="s">
        <v>10</v>
      </c>
      <c r="J38" s="3">
        <v>1</v>
      </c>
      <c r="K38" s="4">
        <v>125</v>
      </c>
      <c r="L38" s="3" t="s">
        <v>93</v>
      </c>
      <c r="M38" s="3" t="s">
        <v>16</v>
      </c>
      <c r="N38" s="3">
        <v>1</v>
      </c>
      <c r="O38" s="4">
        <v>50</v>
      </c>
      <c r="P38" s="4">
        <f t="shared" si="1"/>
        <v>424</v>
      </c>
      <c r="Q38" s="3" t="s">
        <v>117</v>
      </c>
      <c r="R38" s="3" t="s">
        <v>118</v>
      </c>
    </row>
    <row r="39" spans="1:18" ht="15" customHeight="1">
      <c r="A39" s="5" t="s">
        <v>194</v>
      </c>
      <c r="B39" s="6" t="s">
        <v>195</v>
      </c>
      <c r="C39" s="6">
        <v>1</v>
      </c>
      <c r="D39" s="6" t="s">
        <v>79</v>
      </c>
      <c r="E39" s="6" t="s">
        <v>19</v>
      </c>
      <c r="F39" s="6">
        <v>1</v>
      </c>
      <c r="G39" s="7">
        <v>199</v>
      </c>
      <c r="H39" s="6" t="s">
        <v>116</v>
      </c>
      <c r="I39" s="6" t="s">
        <v>116</v>
      </c>
      <c r="J39" s="6" t="s">
        <v>116</v>
      </c>
      <c r="K39" s="6" t="s">
        <v>116</v>
      </c>
      <c r="L39" s="6" t="s">
        <v>116</v>
      </c>
      <c r="M39" s="6" t="s">
        <v>116</v>
      </c>
      <c r="N39" s="6" t="s">
        <v>116</v>
      </c>
      <c r="O39" s="6" t="s">
        <v>116</v>
      </c>
      <c r="P39" s="14">
        <f t="shared" si="1"/>
        <v>199</v>
      </c>
      <c r="Q39" s="6" t="s">
        <v>117</v>
      </c>
      <c r="R39" s="6" t="s">
        <v>118</v>
      </c>
    </row>
    <row r="40" spans="1:18" ht="15" customHeight="1">
      <c r="A40" s="2" t="s">
        <v>196</v>
      </c>
      <c r="B40" s="3" t="s">
        <v>197</v>
      </c>
      <c r="C40" s="3">
        <v>1</v>
      </c>
      <c r="D40" s="3" t="s">
        <v>15</v>
      </c>
      <c r="E40" s="3" t="s">
        <v>11</v>
      </c>
      <c r="F40" s="3">
        <v>1</v>
      </c>
      <c r="G40" s="4">
        <v>349</v>
      </c>
      <c r="H40" s="3" t="s">
        <v>116</v>
      </c>
      <c r="I40" s="3" t="s">
        <v>116</v>
      </c>
      <c r="J40" s="3" t="s">
        <v>116</v>
      </c>
      <c r="K40" s="3" t="s">
        <v>116</v>
      </c>
      <c r="L40" s="3" t="s">
        <v>116</v>
      </c>
      <c r="M40" s="3" t="s">
        <v>116</v>
      </c>
      <c r="N40" s="3" t="s">
        <v>116</v>
      </c>
      <c r="O40" s="3" t="s">
        <v>116</v>
      </c>
      <c r="P40" s="4">
        <f t="shared" si="1"/>
        <v>349</v>
      </c>
      <c r="Q40" s="3" t="s">
        <v>117</v>
      </c>
      <c r="R40" s="3" t="s">
        <v>118</v>
      </c>
    </row>
    <row r="41" spans="1:18" ht="15" customHeight="1">
      <c r="A41" s="5" t="s">
        <v>198</v>
      </c>
      <c r="B41" s="6" t="s">
        <v>199</v>
      </c>
      <c r="C41" s="6">
        <v>3</v>
      </c>
      <c r="D41" s="6" t="s">
        <v>38</v>
      </c>
      <c r="E41" s="6" t="s">
        <v>11</v>
      </c>
      <c r="F41" s="6">
        <v>1</v>
      </c>
      <c r="G41" s="7">
        <v>299</v>
      </c>
      <c r="H41" s="6" t="s">
        <v>48</v>
      </c>
      <c r="I41" s="6" t="s">
        <v>10</v>
      </c>
      <c r="J41" s="6">
        <v>1</v>
      </c>
      <c r="K41" s="7">
        <v>275</v>
      </c>
      <c r="L41" s="6" t="s">
        <v>77</v>
      </c>
      <c r="M41" s="6" t="s">
        <v>11</v>
      </c>
      <c r="N41" s="6">
        <v>1</v>
      </c>
      <c r="O41" s="7">
        <v>199</v>
      </c>
      <c r="P41" s="14">
        <f t="shared" si="1"/>
        <v>773</v>
      </c>
      <c r="Q41" s="6" t="s">
        <v>123</v>
      </c>
      <c r="R41" s="6" t="s">
        <v>118</v>
      </c>
    </row>
    <row r="42" spans="1:18" ht="23.9" customHeight="1">
      <c r="A42" s="2" t="s">
        <v>200</v>
      </c>
      <c r="B42" s="3" t="s">
        <v>201</v>
      </c>
      <c r="C42" s="3">
        <v>3</v>
      </c>
      <c r="D42" s="3" t="s">
        <v>41</v>
      </c>
      <c r="E42" s="3" t="s">
        <v>10</v>
      </c>
      <c r="F42" s="3">
        <v>1</v>
      </c>
      <c r="G42" s="4">
        <v>299</v>
      </c>
      <c r="H42" s="3" t="s">
        <v>52</v>
      </c>
      <c r="I42" s="3" t="s">
        <v>10</v>
      </c>
      <c r="J42" s="3">
        <v>1</v>
      </c>
      <c r="K42" s="4">
        <v>199</v>
      </c>
      <c r="L42" s="3" t="s">
        <v>54</v>
      </c>
      <c r="M42" s="3" t="s">
        <v>19</v>
      </c>
      <c r="N42" s="3">
        <v>1</v>
      </c>
      <c r="O42" s="4">
        <v>199</v>
      </c>
      <c r="P42" s="4">
        <f t="shared" si="1"/>
        <v>697</v>
      </c>
      <c r="Q42" s="3" t="s">
        <v>117</v>
      </c>
      <c r="R42" s="3" t="s">
        <v>118</v>
      </c>
    </row>
    <row r="43" spans="1:18" ht="15" customHeight="1">
      <c r="A43" s="5" t="s">
        <v>202</v>
      </c>
      <c r="B43" s="6" t="s">
        <v>203</v>
      </c>
      <c r="C43" s="6">
        <v>2</v>
      </c>
      <c r="D43" s="6" t="s">
        <v>18</v>
      </c>
      <c r="E43" s="6" t="s">
        <v>11</v>
      </c>
      <c r="F43" s="6">
        <v>1</v>
      </c>
      <c r="G43" s="7">
        <v>349</v>
      </c>
      <c r="H43" s="6" t="s">
        <v>21</v>
      </c>
      <c r="I43" s="6" t="s">
        <v>16</v>
      </c>
      <c r="J43" s="6">
        <v>1</v>
      </c>
      <c r="K43" s="7">
        <v>199</v>
      </c>
      <c r="L43" s="6" t="s">
        <v>116</v>
      </c>
      <c r="M43" s="6" t="s">
        <v>116</v>
      </c>
      <c r="N43" s="6" t="s">
        <v>116</v>
      </c>
      <c r="O43" s="6" t="s">
        <v>116</v>
      </c>
      <c r="P43" s="14">
        <f t="shared" si="1"/>
        <v>548</v>
      </c>
      <c r="Q43" s="6" t="s">
        <v>117</v>
      </c>
      <c r="R43" s="6" t="s">
        <v>118</v>
      </c>
    </row>
    <row r="44" spans="1:18" ht="15" customHeight="1">
      <c r="A44" s="2" t="s">
        <v>204</v>
      </c>
      <c r="B44" s="3" t="s">
        <v>205</v>
      </c>
      <c r="C44" s="3">
        <v>1</v>
      </c>
      <c r="D44" s="3" t="s">
        <v>48</v>
      </c>
      <c r="E44" s="3" t="s">
        <v>10</v>
      </c>
      <c r="F44" s="3">
        <v>2</v>
      </c>
      <c r="G44" s="4">
        <v>275</v>
      </c>
      <c r="H44" s="3" t="s">
        <v>116</v>
      </c>
      <c r="I44" s="3" t="s">
        <v>116</v>
      </c>
      <c r="J44" s="3" t="s">
        <v>116</v>
      </c>
      <c r="K44" s="3" t="s">
        <v>116</v>
      </c>
      <c r="L44" s="3" t="s">
        <v>116</v>
      </c>
      <c r="M44" s="3" t="s">
        <v>116</v>
      </c>
      <c r="N44" s="3" t="s">
        <v>116</v>
      </c>
      <c r="O44" s="3" t="s">
        <v>116</v>
      </c>
      <c r="P44" s="4">
        <f t="shared" si="1"/>
        <v>550</v>
      </c>
      <c r="Q44" s="3" t="s">
        <v>117</v>
      </c>
      <c r="R44" s="3" t="s">
        <v>118</v>
      </c>
    </row>
    <row r="45" spans="1:18" ht="15" customHeight="1">
      <c r="A45" s="5" t="s">
        <v>206</v>
      </c>
      <c r="B45" s="6" t="s">
        <v>207</v>
      </c>
      <c r="C45" s="6">
        <v>3</v>
      </c>
      <c r="D45" s="6" t="s">
        <v>58</v>
      </c>
      <c r="E45" s="6" t="s">
        <v>11</v>
      </c>
      <c r="F45" s="6">
        <v>1</v>
      </c>
      <c r="G45" s="7">
        <v>249</v>
      </c>
      <c r="H45" s="6" t="s">
        <v>34</v>
      </c>
      <c r="I45" s="6" t="s">
        <v>16</v>
      </c>
      <c r="J45" s="6">
        <v>1</v>
      </c>
      <c r="K45" s="7">
        <v>225</v>
      </c>
      <c r="L45" s="6" t="s">
        <v>60</v>
      </c>
      <c r="M45" s="6" t="s">
        <v>10</v>
      </c>
      <c r="N45" s="6">
        <v>1</v>
      </c>
      <c r="O45" s="7">
        <v>120</v>
      </c>
      <c r="P45" s="14">
        <f t="shared" si="1"/>
        <v>594</v>
      </c>
      <c r="Q45" s="6" t="s">
        <v>117</v>
      </c>
      <c r="R45" s="6" t="s">
        <v>118</v>
      </c>
    </row>
    <row r="46" spans="1:18" ht="15" customHeight="1">
      <c r="A46" s="2" t="s">
        <v>208</v>
      </c>
      <c r="B46" s="3" t="s">
        <v>209</v>
      </c>
      <c r="C46" s="3">
        <v>2</v>
      </c>
      <c r="D46" s="3" t="s">
        <v>79</v>
      </c>
      <c r="E46" s="3" t="s">
        <v>19</v>
      </c>
      <c r="F46" s="3">
        <v>1</v>
      </c>
      <c r="G46" s="4">
        <v>199</v>
      </c>
      <c r="H46" s="3" t="s">
        <v>55</v>
      </c>
      <c r="I46" s="3" t="s">
        <v>10</v>
      </c>
      <c r="J46" s="3">
        <v>1</v>
      </c>
      <c r="K46" s="4">
        <v>99</v>
      </c>
      <c r="L46" s="3" t="s">
        <v>116</v>
      </c>
      <c r="M46" s="3" t="s">
        <v>116</v>
      </c>
      <c r="N46" s="3" t="s">
        <v>116</v>
      </c>
      <c r="O46" s="3" t="s">
        <v>116</v>
      </c>
      <c r="P46" s="4">
        <f t="shared" si="1"/>
        <v>298</v>
      </c>
      <c r="Q46" s="3" t="s">
        <v>117</v>
      </c>
      <c r="R46" s="3" t="s">
        <v>118</v>
      </c>
    </row>
    <row r="47" spans="1:18" ht="23.9" customHeight="1">
      <c r="A47" s="5" t="s">
        <v>210</v>
      </c>
      <c r="B47" s="6" t="s">
        <v>211</v>
      </c>
      <c r="C47" s="6">
        <v>1</v>
      </c>
      <c r="D47" s="6" t="s">
        <v>93</v>
      </c>
      <c r="E47" s="6" t="s">
        <v>16</v>
      </c>
      <c r="F47" s="6">
        <v>2</v>
      </c>
      <c r="G47" s="7">
        <v>50</v>
      </c>
      <c r="H47" s="6" t="s">
        <v>116</v>
      </c>
      <c r="I47" s="6" t="s">
        <v>116</v>
      </c>
      <c r="J47" s="6" t="s">
        <v>116</v>
      </c>
      <c r="K47" s="6" t="s">
        <v>116</v>
      </c>
      <c r="L47" s="6" t="s">
        <v>116</v>
      </c>
      <c r="M47" s="6" t="s">
        <v>116</v>
      </c>
      <c r="N47" s="6" t="s">
        <v>116</v>
      </c>
      <c r="O47" s="6" t="s">
        <v>116</v>
      </c>
      <c r="P47" s="14">
        <f t="shared" si="1"/>
        <v>100</v>
      </c>
      <c r="Q47" s="6" t="s">
        <v>145</v>
      </c>
      <c r="R47" s="6" t="s">
        <v>118</v>
      </c>
    </row>
    <row r="48" spans="1:18" ht="15" customHeight="1">
      <c r="A48" s="2" t="s">
        <v>212</v>
      </c>
      <c r="B48" s="3" t="s">
        <v>213</v>
      </c>
      <c r="C48" s="3">
        <v>3</v>
      </c>
      <c r="D48" s="3" t="s">
        <v>77</v>
      </c>
      <c r="E48" s="3" t="s">
        <v>11</v>
      </c>
      <c r="F48" s="3">
        <v>1</v>
      </c>
      <c r="G48" s="4">
        <v>199</v>
      </c>
      <c r="H48" s="3" t="s">
        <v>47</v>
      </c>
      <c r="I48" s="3" t="s">
        <v>10</v>
      </c>
      <c r="J48" s="3">
        <v>1</v>
      </c>
      <c r="K48" s="4">
        <v>275</v>
      </c>
      <c r="L48" s="3" t="s">
        <v>37</v>
      </c>
      <c r="M48" s="3" t="s">
        <v>16</v>
      </c>
      <c r="N48" s="3">
        <v>1</v>
      </c>
      <c r="O48" s="4">
        <v>249</v>
      </c>
      <c r="P48" s="4">
        <f t="shared" si="1"/>
        <v>723</v>
      </c>
      <c r="Q48" s="3" t="s">
        <v>117</v>
      </c>
      <c r="R48" s="3" t="s">
        <v>118</v>
      </c>
    </row>
    <row r="49" spans="1:18" ht="15" customHeight="1">
      <c r="A49" s="5" t="s">
        <v>214</v>
      </c>
      <c r="B49" s="6" t="s">
        <v>215</v>
      </c>
      <c r="C49" s="6">
        <v>2</v>
      </c>
      <c r="D49" s="6" t="s">
        <v>52</v>
      </c>
      <c r="E49" s="6" t="s">
        <v>10</v>
      </c>
      <c r="F49" s="6">
        <v>1</v>
      </c>
      <c r="G49" s="7">
        <v>199</v>
      </c>
      <c r="H49" s="6" t="s">
        <v>57</v>
      </c>
      <c r="I49" s="6" t="s">
        <v>11</v>
      </c>
      <c r="J49" s="6">
        <v>1</v>
      </c>
      <c r="K49" s="7">
        <v>249</v>
      </c>
      <c r="L49" s="6" t="s">
        <v>116</v>
      </c>
      <c r="M49" s="6" t="s">
        <v>116</v>
      </c>
      <c r="N49" s="6" t="s">
        <v>116</v>
      </c>
      <c r="O49" s="6" t="s">
        <v>116</v>
      </c>
      <c r="P49" s="14">
        <f t="shared" si="1"/>
        <v>448</v>
      </c>
      <c r="Q49" s="6" t="s">
        <v>117</v>
      </c>
      <c r="R49" s="6" t="s">
        <v>118</v>
      </c>
    </row>
    <row r="50" spans="1:18" ht="23.9" customHeight="1">
      <c r="A50" s="2" t="s">
        <v>216</v>
      </c>
      <c r="B50" s="3" t="s">
        <v>215</v>
      </c>
      <c r="C50" s="3">
        <v>3</v>
      </c>
      <c r="D50" s="3" t="s">
        <v>54</v>
      </c>
      <c r="E50" s="3" t="s">
        <v>19</v>
      </c>
      <c r="F50" s="3">
        <v>1</v>
      </c>
      <c r="G50" s="4">
        <v>199</v>
      </c>
      <c r="H50" s="3" t="s">
        <v>42</v>
      </c>
      <c r="I50" s="3" t="s">
        <v>10</v>
      </c>
      <c r="J50" s="3">
        <v>1</v>
      </c>
      <c r="K50" s="4">
        <v>175</v>
      </c>
      <c r="L50" s="3" t="s">
        <v>21</v>
      </c>
      <c r="M50" s="3" t="s">
        <v>16</v>
      </c>
      <c r="N50" s="3">
        <v>1</v>
      </c>
      <c r="O50" s="4">
        <v>199</v>
      </c>
      <c r="P50" s="4">
        <f t="shared" si="1"/>
        <v>573</v>
      </c>
      <c r="Q50" s="3" t="s">
        <v>117</v>
      </c>
      <c r="R50" s="3" t="s">
        <v>118</v>
      </c>
    </row>
    <row r="51" spans="1:18" ht="15" customHeight="1">
      <c r="A51" s="5" t="s">
        <v>217</v>
      </c>
      <c r="B51" s="6" t="s">
        <v>218</v>
      </c>
      <c r="C51" s="6">
        <v>1</v>
      </c>
      <c r="D51" s="6" t="s">
        <v>38</v>
      </c>
      <c r="E51" s="6" t="s">
        <v>11</v>
      </c>
      <c r="F51" s="6">
        <v>1</v>
      </c>
      <c r="G51" s="7">
        <v>299</v>
      </c>
      <c r="H51" s="6" t="s">
        <v>116</v>
      </c>
      <c r="I51" s="6" t="s">
        <v>116</v>
      </c>
      <c r="J51" s="6" t="s">
        <v>116</v>
      </c>
      <c r="K51" s="6" t="s">
        <v>116</v>
      </c>
      <c r="L51" s="6" t="s">
        <v>116</v>
      </c>
      <c r="M51" s="6" t="s">
        <v>116</v>
      </c>
      <c r="N51" s="6" t="s">
        <v>116</v>
      </c>
      <c r="O51" s="6" t="s">
        <v>116</v>
      </c>
      <c r="P51" s="14">
        <f t="shared" si="1"/>
        <v>299</v>
      </c>
      <c r="Q51" s="6" t="s">
        <v>117</v>
      </c>
      <c r="R51" s="6" t="s">
        <v>136</v>
      </c>
    </row>
    <row r="52" spans="1:18" ht="23.9" customHeight="1">
      <c r="A52" s="2" t="s">
        <v>219</v>
      </c>
      <c r="B52" s="3" t="s">
        <v>218</v>
      </c>
      <c r="C52" s="3">
        <v>2</v>
      </c>
      <c r="D52" s="3" t="s">
        <v>41</v>
      </c>
      <c r="E52" s="3" t="s">
        <v>10</v>
      </c>
      <c r="F52" s="3">
        <v>1</v>
      </c>
      <c r="G52" s="4">
        <v>299</v>
      </c>
      <c r="H52" s="3" t="s">
        <v>45</v>
      </c>
      <c r="I52" s="3" t="s">
        <v>16</v>
      </c>
      <c r="J52" s="3">
        <v>1</v>
      </c>
      <c r="K52" s="4">
        <v>279</v>
      </c>
      <c r="L52" s="3" t="s">
        <v>116</v>
      </c>
      <c r="M52" s="3" t="s">
        <v>116</v>
      </c>
      <c r="N52" s="3" t="s">
        <v>116</v>
      </c>
      <c r="O52" s="3" t="s">
        <v>116</v>
      </c>
      <c r="P52" s="4">
        <f t="shared" si="1"/>
        <v>578</v>
      </c>
      <c r="Q52" s="3" t="s">
        <v>117</v>
      </c>
      <c r="R52" s="3" t="s">
        <v>118</v>
      </c>
    </row>
    <row r="53" spans="1:18" ht="15" customHeight="1">
      <c r="A53" s="5" t="s">
        <v>220</v>
      </c>
      <c r="B53" s="6" t="s">
        <v>221</v>
      </c>
      <c r="C53" s="6">
        <v>2</v>
      </c>
      <c r="D53" s="6" t="s">
        <v>50</v>
      </c>
      <c r="E53" s="6" t="s">
        <v>19</v>
      </c>
      <c r="F53" s="6">
        <v>1</v>
      </c>
      <c r="G53" s="7">
        <v>275</v>
      </c>
      <c r="H53" s="6" t="s">
        <v>81</v>
      </c>
      <c r="I53" s="6" t="s">
        <v>10</v>
      </c>
      <c r="J53" s="6">
        <v>1</v>
      </c>
      <c r="K53" s="7">
        <v>125</v>
      </c>
      <c r="L53" s="6" t="s">
        <v>116</v>
      </c>
      <c r="M53" s="6" t="s">
        <v>116</v>
      </c>
      <c r="N53" s="6" t="s">
        <v>116</v>
      </c>
      <c r="O53" s="6" t="s">
        <v>116</v>
      </c>
      <c r="P53" s="14">
        <f t="shared" si="1"/>
        <v>400</v>
      </c>
      <c r="Q53" s="6" t="s">
        <v>117</v>
      </c>
      <c r="R53" s="6" t="s">
        <v>118</v>
      </c>
    </row>
    <row r="54" spans="1:18" ht="15" customHeight="1">
      <c r="A54" s="2" t="s">
        <v>222</v>
      </c>
      <c r="B54" s="3" t="s">
        <v>221</v>
      </c>
      <c r="C54" s="3">
        <v>1</v>
      </c>
      <c r="D54" s="3" t="s">
        <v>70</v>
      </c>
      <c r="E54" s="3" t="s">
        <v>19</v>
      </c>
      <c r="F54" s="3">
        <v>1</v>
      </c>
      <c r="G54" s="4">
        <v>250</v>
      </c>
      <c r="H54" s="3" t="s">
        <v>116</v>
      </c>
      <c r="I54" s="3" t="s">
        <v>116</v>
      </c>
      <c r="J54" s="3" t="s">
        <v>116</v>
      </c>
      <c r="K54" s="3" t="s">
        <v>116</v>
      </c>
      <c r="L54" s="3" t="s">
        <v>116</v>
      </c>
      <c r="M54" s="3" t="s">
        <v>116</v>
      </c>
      <c r="N54" s="3" t="s">
        <v>116</v>
      </c>
      <c r="O54" s="3" t="s">
        <v>116</v>
      </c>
      <c r="P54" s="4">
        <f t="shared" si="1"/>
        <v>250</v>
      </c>
      <c r="Q54" s="3" t="s">
        <v>117</v>
      </c>
      <c r="R54" s="3" t="s">
        <v>118</v>
      </c>
    </row>
    <row r="55" spans="1:18" ht="15" customHeight="1">
      <c r="A55" s="5" t="s">
        <v>223</v>
      </c>
      <c r="B55" s="6" t="s">
        <v>224</v>
      </c>
      <c r="C55" s="6">
        <v>1</v>
      </c>
      <c r="D55" s="6" t="s">
        <v>36</v>
      </c>
      <c r="E55" s="6" t="s">
        <v>11</v>
      </c>
      <c r="F55" s="6">
        <v>1</v>
      </c>
      <c r="G55" s="7">
        <v>349</v>
      </c>
      <c r="H55" s="6" t="s">
        <v>116</v>
      </c>
      <c r="I55" s="6" t="s">
        <v>116</v>
      </c>
      <c r="J55" s="6" t="s">
        <v>116</v>
      </c>
      <c r="K55" s="6" t="s">
        <v>116</v>
      </c>
      <c r="L55" s="6" t="s">
        <v>116</v>
      </c>
      <c r="M55" s="6" t="s">
        <v>116</v>
      </c>
      <c r="N55" s="6" t="s">
        <v>116</v>
      </c>
      <c r="O55" s="6" t="s">
        <v>116</v>
      </c>
      <c r="P55" s="14">
        <f t="shared" si="1"/>
        <v>349</v>
      </c>
      <c r="Q55" s="6" t="s">
        <v>117</v>
      </c>
      <c r="R55" s="6" t="s">
        <v>118</v>
      </c>
    </row>
    <row r="56" spans="1:18" ht="23.9" customHeight="1">
      <c r="A56" s="2" t="s">
        <v>225</v>
      </c>
      <c r="B56" s="3" t="s">
        <v>226</v>
      </c>
      <c r="C56" s="3">
        <v>3</v>
      </c>
      <c r="D56" s="3" t="s">
        <v>35</v>
      </c>
      <c r="E56" s="3" t="s">
        <v>11</v>
      </c>
      <c r="F56" s="3">
        <v>1</v>
      </c>
      <c r="G56" s="4">
        <v>550</v>
      </c>
      <c r="H56" s="3" t="s">
        <v>61</v>
      </c>
      <c r="I56" s="3" t="s">
        <v>11</v>
      </c>
      <c r="J56" s="3">
        <v>1</v>
      </c>
      <c r="K56" s="4">
        <v>350</v>
      </c>
      <c r="L56" s="3" t="s">
        <v>84</v>
      </c>
      <c r="M56" s="3" t="s">
        <v>10</v>
      </c>
      <c r="N56" s="3">
        <v>1</v>
      </c>
      <c r="O56" s="4">
        <v>175</v>
      </c>
      <c r="P56" s="4">
        <f t="shared" si="1"/>
        <v>1075</v>
      </c>
      <c r="Q56" s="3" t="s">
        <v>117</v>
      </c>
      <c r="R56" s="3" t="s">
        <v>118</v>
      </c>
    </row>
    <row r="57" spans="1:18" ht="15" customHeight="1">
      <c r="A57" s="5" t="s">
        <v>227</v>
      </c>
      <c r="B57" s="6" t="s">
        <v>228</v>
      </c>
      <c r="C57" s="6">
        <v>3</v>
      </c>
      <c r="D57" s="6" t="s">
        <v>63</v>
      </c>
      <c r="E57" s="6" t="s">
        <v>11</v>
      </c>
      <c r="F57" s="6">
        <v>1</v>
      </c>
      <c r="G57" s="7">
        <v>349</v>
      </c>
      <c r="H57" s="6" t="s">
        <v>81</v>
      </c>
      <c r="I57" s="6" t="s">
        <v>10</v>
      </c>
      <c r="J57" s="6">
        <v>1</v>
      </c>
      <c r="K57" s="7">
        <v>125</v>
      </c>
      <c r="L57" s="6" t="s">
        <v>52</v>
      </c>
      <c r="M57" s="6" t="s">
        <v>10</v>
      </c>
      <c r="N57" s="6">
        <v>1</v>
      </c>
      <c r="O57" s="7">
        <v>199</v>
      </c>
      <c r="P57" s="14">
        <f t="shared" si="1"/>
        <v>673</v>
      </c>
      <c r="Q57" s="6" t="s">
        <v>117</v>
      </c>
      <c r="R57" s="6" t="s">
        <v>118</v>
      </c>
    </row>
    <row r="58" spans="1:18" ht="23.9" customHeight="1">
      <c r="A58" s="2" t="s">
        <v>229</v>
      </c>
      <c r="B58" s="3" t="s">
        <v>230</v>
      </c>
      <c r="C58" s="3">
        <v>3</v>
      </c>
      <c r="D58" s="10" t="s">
        <v>68</v>
      </c>
      <c r="E58" s="3" t="s">
        <v>16</v>
      </c>
      <c r="F58" s="3">
        <v>1</v>
      </c>
      <c r="G58" s="4">
        <v>275</v>
      </c>
      <c r="H58" s="10" t="s">
        <v>86</v>
      </c>
      <c r="I58" s="3" t="s">
        <v>16</v>
      </c>
      <c r="J58" s="3">
        <v>1</v>
      </c>
      <c r="K58" s="4">
        <v>175</v>
      </c>
      <c r="L58" s="3" t="s">
        <v>92</v>
      </c>
      <c r="M58" s="3" t="s">
        <v>10</v>
      </c>
      <c r="N58" s="3">
        <v>1</v>
      </c>
      <c r="O58" s="4">
        <v>99</v>
      </c>
      <c r="P58" s="4">
        <f t="shared" si="1"/>
        <v>549</v>
      </c>
      <c r="Q58" s="3" t="s">
        <v>117</v>
      </c>
      <c r="R58" s="3" t="s">
        <v>118</v>
      </c>
    </row>
    <row r="59" spans="1:18" ht="15" customHeight="1">
      <c r="A59" s="5" t="s">
        <v>231</v>
      </c>
      <c r="B59" s="6" t="s">
        <v>230</v>
      </c>
      <c r="C59" s="6">
        <v>2</v>
      </c>
      <c r="D59" s="6" t="s">
        <v>80</v>
      </c>
      <c r="E59" s="6" t="s">
        <v>19</v>
      </c>
      <c r="F59" s="6">
        <v>1</v>
      </c>
      <c r="G59" s="7">
        <v>199</v>
      </c>
      <c r="H59" s="6" t="s">
        <v>85</v>
      </c>
      <c r="I59" s="6" t="s">
        <v>10</v>
      </c>
      <c r="J59" s="6">
        <v>1</v>
      </c>
      <c r="K59" s="7">
        <v>175</v>
      </c>
      <c r="L59" s="6" t="s">
        <v>116</v>
      </c>
      <c r="M59" s="6" t="s">
        <v>116</v>
      </c>
      <c r="N59" s="6" t="s">
        <v>116</v>
      </c>
      <c r="O59" s="6" t="s">
        <v>116</v>
      </c>
      <c r="P59" s="14">
        <f t="shared" si="1"/>
        <v>374</v>
      </c>
      <c r="Q59" s="6" t="s">
        <v>117</v>
      </c>
      <c r="R59" s="6" t="s">
        <v>118</v>
      </c>
    </row>
    <row r="60" spans="1:18" ht="15" customHeight="1">
      <c r="A60" s="2" t="s">
        <v>232</v>
      </c>
      <c r="B60" s="3" t="s">
        <v>233</v>
      </c>
      <c r="C60" s="3">
        <v>1</v>
      </c>
      <c r="D60" s="3" t="s">
        <v>43</v>
      </c>
      <c r="E60" s="3" t="s">
        <v>10</v>
      </c>
      <c r="F60" s="3">
        <v>2</v>
      </c>
      <c r="G60" s="4">
        <v>175</v>
      </c>
      <c r="H60" s="3" t="s">
        <v>116</v>
      </c>
      <c r="I60" s="3" t="s">
        <v>116</v>
      </c>
      <c r="J60" s="3" t="s">
        <v>116</v>
      </c>
      <c r="K60" s="3" t="s">
        <v>116</v>
      </c>
      <c r="L60" s="3" t="s">
        <v>116</v>
      </c>
      <c r="M60" s="3" t="s">
        <v>116</v>
      </c>
      <c r="N60" s="3" t="s">
        <v>116</v>
      </c>
      <c r="O60" s="3" t="s">
        <v>116</v>
      </c>
      <c r="P60" s="4">
        <f t="shared" si="1"/>
        <v>350</v>
      </c>
      <c r="Q60" s="3" t="s">
        <v>117</v>
      </c>
      <c r="R60" s="3" t="s">
        <v>118</v>
      </c>
    </row>
    <row r="61" spans="1:18" ht="15" customHeight="1">
      <c r="A61" s="5" t="s">
        <v>234</v>
      </c>
      <c r="B61" s="6" t="s">
        <v>235</v>
      </c>
      <c r="C61" s="6">
        <v>2</v>
      </c>
      <c r="D61" s="6" t="s">
        <v>9</v>
      </c>
      <c r="E61" s="6" t="s">
        <v>10</v>
      </c>
      <c r="F61" s="6">
        <v>8</v>
      </c>
      <c r="G61" s="7">
        <v>175</v>
      </c>
      <c r="H61" s="6" t="s">
        <v>82</v>
      </c>
      <c r="I61" s="6" t="s">
        <v>10</v>
      </c>
      <c r="J61" s="6">
        <v>1</v>
      </c>
      <c r="K61" s="7">
        <v>180</v>
      </c>
      <c r="L61" s="6" t="s">
        <v>116</v>
      </c>
      <c r="M61" s="6" t="s">
        <v>116</v>
      </c>
      <c r="N61" s="6" t="s">
        <v>116</v>
      </c>
      <c r="O61" s="6" t="s">
        <v>116</v>
      </c>
      <c r="P61" s="14">
        <f t="shared" si="1"/>
        <v>1580</v>
      </c>
      <c r="Q61" s="6" t="s">
        <v>117</v>
      </c>
      <c r="R61" s="6" t="s">
        <v>118</v>
      </c>
    </row>
    <row r="62" spans="1:18" ht="15" customHeight="1">
      <c r="A62" s="2" t="s">
        <v>236</v>
      </c>
      <c r="B62" s="3" t="s">
        <v>237</v>
      </c>
      <c r="C62" s="3">
        <v>3</v>
      </c>
      <c r="D62" s="3" t="s">
        <v>53</v>
      </c>
      <c r="E62" s="3" t="s">
        <v>10</v>
      </c>
      <c r="F62" s="3">
        <v>1</v>
      </c>
      <c r="G62" s="4">
        <v>199</v>
      </c>
      <c r="H62" s="3" t="s">
        <v>60</v>
      </c>
      <c r="I62" s="3" t="s">
        <v>10</v>
      </c>
      <c r="J62" s="3">
        <v>1</v>
      </c>
      <c r="K62" s="4">
        <v>120</v>
      </c>
      <c r="L62" s="3" t="s">
        <v>50</v>
      </c>
      <c r="M62" s="3" t="s">
        <v>19</v>
      </c>
      <c r="N62" s="3">
        <v>1</v>
      </c>
      <c r="O62" s="4">
        <v>275</v>
      </c>
      <c r="P62" s="4">
        <f t="shared" si="1"/>
        <v>594</v>
      </c>
      <c r="Q62" s="3" t="s">
        <v>117</v>
      </c>
      <c r="R62" s="3" t="s">
        <v>118</v>
      </c>
    </row>
    <row r="63" spans="1:18" ht="15" customHeight="1">
      <c r="A63" s="5" t="s">
        <v>238</v>
      </c>
      <c r="B63" s="6" t="s">
        <v>237</v>
      </c>
      <c r="C63" s="6">
        <v>2</v>
      </c>
      <c r="D63" s="6" t="s">
        <v>21</v>
      </c>
      <c r="E63" s="6" t="s">
        <v>16</v>
      </c>
      <c r="F63" s="6">
        <v>1</v>
      </c>
      <c r="G63" s="7">
        <v>199</v>
      </c>
      <c r="H63" s="6" t="s">
        <v>70</v>
      </c>
      <c r="I63" s="6" t="s">
        <v>19</v>
      </c>
      <c r="J63" s="6">
        <v>1</v>
      </c>
      <c r="K63" s="7">
        <v>250</v>
      </c>
      <c r="L63" s="6" t="s">
        <v>116</v>
      </c>
      <c r="M63" s="6" t="s">
        <v>116</v>
      </c>
      <c r="N63" s="6" t="s">
        <v>116</v>
      </c>
      <c r="O63" s="6" t="s">
        <v>116</v>
      </c>
      <c r="P63" s="14">
        <f t="shared" si="1"/>
        <v>449</v>
      </c>
      <c r="Q63" s="6" t="s">
        <v>117</v>
      </c>
      <c r="R63" s="6" t="s">
        <v>118</v>
      </c>
    </row>
    <row r="64" spans="1:18" ht="15" customHeight="1">
      <c r="A64" s="2" t="s">
        <v>239</v>
      </c>
      <c r="B64" s="3" t="s">
        <v>240</v>
      </c>
      <c r="C64" s="3">
        <v>3</v>
      </c>
      <c r="D64" s="3" t="s">
        <v>35</v>
      </c>
      <c r="E64" s="3" t="s">
        <v>11</v>
      </c>
      <c r="F64" s="3">
        <v>1</v>
      </c>
      <c r="G64" s="4">
        <v>550</v>
      </c>
      <c r="H64" s="3" t="s">
        <v>81</v>
      </c>
      <c r="I64" s="3" t="s">
        <v>10</v>
      </c>
      <c r="J64" s="3">
        <v>1</v>
      </c>
      <c r="K64" s="4">
        <v>125</v>
      </c>
      <c r="L64" s="3" t="s">
        <v>43</v>
      </c>
      <c r="M64" s="3" t="s">
        <v>10</v>
      </c>
      <c r="N64" s="3">
        <v>1</v>
      </c>
      <c r="O64" s="4">
        <v>175</v>
      </c>
      <c r="P64" s="4">
        <f t="shared" si="1"/>
        <v>850</v>
      </c>
      <c r="Q64" s="3" t="s">
        <v>117</v>
      </c>
      <c r="R64" s="3" t="s">
        <v>118</v>
      </c>
    </row>
    <row r="65" spans="1:18" ht="15" customHeight="1">
      <c r="A65" s="5" t="s">
        <v>241</v>
      </c>
      <c r="B65" s="6" t="s">
        <v>242</v>
      </c>
      <c r="C65" s="6">
        <v>1</v>
      </c>
      <c r="D65" s="6" t="s">
        <v>53</v>
      </c>
      <c r="E65" s="6" t="s">
        <v>10</v>
      </c>
      <c r="F65" s="6">
        <v>2</v>
      </c>
      <c r="G65" s="7">
        <v>199</v>
      </c>
      <c r="H65" s="6" t="s">
        <v>116</v>
      </c>
      <c r="I65" s="6" t="s">
        <v>116</v>
      </c>
      <c r="J65" s="6" t="s">
        <v>116</v>
      </c>
      <c r="K65" s="6" t="s">
        <v>116</v>
      </c>
      <c r="L65" s="6" t="s">
        <v>116</v>
      </c>
      <c r="M65" s="6" t="s">
        <v>116</v>
      </c>
      <c r="N65" s="6" t="s">
        <v>116</v>
      </c>
      <c r="O65" s="6" t="s">
        <v>116</v>
      </c>
      <c r="P65" s="14">
        <f t="shared" si="1"/>
        <v>398</v>
      </c>
      <c r="Q65" s="6" t="s">
        <v>117</v>
      </c>
      <c r="R65" s="6" t="s">
        <v>118</v>
      </c>
    </row>
    <row r="66" spans="1:18" ht="23.9" customHeight="1">
      <c r="A66" s="2" t="s">
        <v>243</v>
      </c>
      <c r="B66" s="3" t="s">
        <v>244</v>
      </c>
      <c r="C66" s="3">
        <v>2</v>
      </c>
      <c r="D66" s="3" t="s">
        <v>80</v>
      </c>
      <c r="E66" s="3" t="s">
        <v>19</v>
      </c>
      <c r="F66" s="3">
        <v>1</v>
      </c>
      <c r="G66" s="4">
        <v>199</v>
      </c>
      <c r="H66" s="10" t="s">
        <v>68</v>
      </c>
      <c r="I66" s="3" t="s">
        <v>16</v>
      </c>
      <c r="J66" s="3">
        <v>1</v>
      </c>
      <c r="K66" s="4">
        <v>275</v>
      </c>
      <c r="L66" s="3" t="s">
        <v>116</v>
      </c>
      <c r="M66" s="3" t="s">
        <v>116</v>
      </c>
      <c r="N66" s="3" t="s">
        <v>116</v>
      </c>
      <c r="O66" s="3" t="s">
        <v>116</v>
      </c>
      <c r="P66" s="4">
        <f t="shared" ref="P66:P97" si="2">IFERROR(F66*G66,0)+IFERROR(J66*K66,0)+IFERROR(N66*O66,0)</f>
        <v>474</v>
      </c>
      <c r="Q66" s="3" t="s">
        <v>123</v>
      </c>
      <c r="R66" s="3" t="s">
        <v>118</v>
      </c>
    </row>
    <row r="67" spans="1:18" ht="15" customHeight="1">
      <c r="A67" s="5" t="s">
        <v>245</v>
      </c>
      <c r="B67" s="6" t="s">
        <v>244</v>
      </c>
      <c r="C67" s="6">
        <v>3</v>
      </c>
      <c r="D67" s="6" t="s">
        <v>61</v>
      </c>
      <c r="E67" s="6" t="s">
        <v>11</v>
      </c>
      <c r="F67" s="6">
        <v>1</v>
      </c>
      <c r="G67" s="7">
        <v>350</v>
      </c>
      <c r="H67" s="6" t="s">
        <v>92</v>
      </c>
      <c r="I67" s="6" t="s">
        <v>10</v>
      </c>
      <c r="J67" s="6">
        <v>1</v>
      </c>
      <c r="K67" s="7">
        <v>99</v>
      </c>
      <c r="L67" s="6" t="s">
        <v>82</v>
      </c>
      <c r="M67" s="6" t="s">
        <v>10</v>
      </c>
      <c r="N67" s="6">
        <v>1</v>
      </c>
      <c r="O67" s="7">
        <v>180</v>
      </c>
      <c r="P67" s="14">
        <f t="shared" si="2"/>
        <v>629</v>
      </c>
      <c r="Q67" s="6" t="s">
        <v>117</v>
      </c>
      <c r="R67" s="6" t="s">
        <v>118</v>
      </c>
    </row>
    <row r="68" spans="1:18" ht="23.9" customHeight="1">
      <c r="A68" s="2" t="s">
        <v>246</v>
      </c>
      <c r="B68" s="3" t="s">
        <v>247</v>
      </c>
      <c r="C68" s="3">
        <v>1</v>
      </c>
      <c r="D68" s="10" t="s">
        <v>86</v>
      </c>
      <c r="E68" s="3" t="s">
        <v>16</v>
      </c>
      <c r="F68" s="3">
        <v>1</v>
      </c>
      <c r="G68" s="4">
        <v>175</v>
      </c>
      <c r="H68" s="3" t="s">
        <v>116</v>
      </c>
      <c r="I68" s="3" t="s">
        <v>116</v>
      </c>
      <c r="J68" s="3" t="s">
        <v>116</v>
      </c>
      <c r="K68" s="3" t="s">
        <v>116</v>
      </c>
      <c r="L68" s="3" t="s">
        <v>116</v>
      </c>
      <c r="M68" s="3" t="s">
        <v>116</v>
      </c>
      <c r="N68" s="3" t="s">
        <v>116</v>
      </c>
      <c r="O68" s="3" t="s">
        <v>116</v>
      </c>
      <c r="P68" s="4">
        <f t="shared" si="2"/>
        <v>175</v>
      </c>
      <c r="Q68" s="3" t="s">
        <v>117</v>
      </c>
      <c r="R68" s="3" t="s">
        <v>118</v>
      </c>
    </row>
    <row r="69" spans="1:18" ht="15" customHeight="1">
      <c r="A69" s="5" t="s">
        <v>248</v>
      </c>
      <c r="B69" s="6" t="s">
        <v>249</v>
      </c>
      <c r="C69" s="6">
        <v>2</v>
      </c>
      <c r="D69" s="6" t="s">
        <v>36</v>
      </c>
      <c r="E69" s="6" t="s">
        <v>11</v>
      </c>
      <c r="F69" s="6">
        <v>1</v>
      </c>
      <c r="G69" s="7">
        <v>349</v>
      </c>
      <c r="H69" s="6" t="s">
        <v>50</v>
      </c>
      <c r="I69" s="6" t="s">
        <v>19</v>
      </c>
      <c r="J69" s="6">
        <v>1</v>
      </c>
      <c r="K69" s="7">
        <v>275</v>
      </c>
      <c r="L69" s="6" t="s">
        <v>116</v>
      </c>
      <c r="M69" s="6" t="s">
        <v>116</v>
      </c>
      <c r="N69" s="6" t="s">
        <v>116</v>
      </c>
      <c r="O69" s="6" t="s">
        <v>116</v>
      </c>
      <c r="P69" s="14">
        <f t="shared" si="2"/>
        <v>624</v>
      </c>
      <c r="Q69" s="6" t="s">
        <v>117</v>
      </c>
      <c r="R69" s="6" t="s">
        <v>118</v>
      </c>
    </row>
    <row r="70" spans="1:18" ht="15" customHeight="1">
      <c r="A70" s="2" t="s">
        <v>250</v>
      </c>
      <c r="B70" s="3" t="s">
        <v>249</v>
      </c>
      <c r="C70" s="3">
        <v>3</v>
      </c>
      <c r="D70" s="3" t="s">
        <v>63</v>
      </c>
      <c r="E70" s="3" t="s">
        <v>11</v>
      </c>
      <c r="F70" s="3">
        <v>1</v>
      </c>
      <c r="G70" s="4">
        <v>349</v>
      </c>
      <c r="H70" s="3" t="s">
        <v>85</v>
      </c>
      <c r="I70" s="3" t="s">
        <v>10</v>
      </c>
      <c r="J70" s="3">
        <v>1</v>
      </c>
      <c r="K70" s="4">
        <v>175</v>
      </c>
      <c r="L70" s="3" t="s">
        <v>34</v>
      </c>
      <c r="M70" s="3" t="s">
        <v>16</v>
      </c>
      <c r="N70" s="3">
        <v>1</v>
      </c>
      <c r="O70" s="4">
        <v>225</v>
      </c>
      <c r="P70" s="4">
        <f t="shared" si="2"/>
        <v>749</v>
      </c>
      <c r="Q70" s="3" t="s">
        <v>117</v>
      </c>
      <c r="R70" s="3" t="s">
        <v>118</v>
      </c>
    </row>
    <row r="71" spans="1:18" ht="15" customHeight="1">
      <c r="A71" s="5" t="s">
        <v>251</v>
      </c>
      <c r="B71" s="6" t="s">
        <v>252</v>
      </c>
      <c r="C71" s="6">
        <v>1</v>
      </c>
      <c r="D71" s="6" t="s">
        <v>43</v>
      </c>
      <c r="E71" s="6" t="s">
        <v>10</v>
      </c>
      <c r="F71" s="6">
        <v>1</v>
      </c>
      <c r="G71" s="7">
        <v>175</v>
      </c>
      <c r="H71" s="6" t="s">
        <v>116</v>
      </c>
      <c r="I71" s="6" t="s">
        <v>116</v>
      </c>
      <c r="J71" s="6" t="s">
        <v>116</v>
      </c>
      <c r="K71" s="6" t="s">
        <v>116</v>
      </c>
      <c r="L71" s="6" t="s">
        <v>116</v>
      </c>
      <c r="M71" s="6" t="s">
        <v>116</v>
      </c>
      <c r="N71" s="6" t="s">
        <v>116</v>
      </c>
      <c r="O71" s="6" t="s">
        <v>116</v>
      </c>
      <c r="P71" s="14">
        <f t="shared" si="2"/>
        <v>175</v>
      </c>
      <c r="Q71" s="6" t="s">
        <v>117</v>
      </c>
      <c r="R71" s="6" t="s">
        <v>118</v>
      </c>
    </row>
    <row r="72" spans="1:18" ht="23.9" customHeight="1">
      <c r="A72" s="2" t="s">
        <v>253</v>
      </c>
      <c r="B72" s="3" t="s">
        <v>252</v>
      </c>
      <c r="C72" s="3">
        <v>3</v>
      </c>
      <c r="D72" s="3" t="s">
        <v>84</v>
      </c>
      <c r="E72" s="3" t="s">
        <v>10</v>
      </c>
      <c r="F72" s="3">
        <v>1</v>
      </c>
      <c r="G72" s="4">
        <v>175</v>
      </c>
      <c r="H72" s="3" t="s">
        <v>25</v>
      </c>
      <c r="I72" s="3" t="s">
        <v>11</v>
      </c>
      <c r="J72" s="3">
        <v>1</v>
      </c>
      <c r="K72" s="4">
        <v>249</v>
      </c>
      <c r="L72" s="3" t="s">
        <v>37</v>
      </c>
      <c r="M72" s="3" t="s">
        <v>16</v>
      </c>
      <c r="N72" s="3">
        <v>1</v>
      </c>
      <c r="O72" s="4">
        <v>249</v>
      </c>
      <c r="P72" s="4">
        <f t="shared" si="2"/>
        <v>673</v>
      </c>
      <c r="Q72" s="3" t="s">
        <v>117</v>
      </c>
      <c r="R72" s="3" t="s">
        <v>118</v>
      </c>
    </row>
    <row r="73" spans="1:18" ht="15" customHeight="1">
      <c r="A73" s="5" t="s">
        <v>254</v>
      </c>
      <c r="B73" s="6" t="s">
        <v>255</v>
      </c>
      <c r="C73" s="6">
        <v>2</v>
      </c>
      <c r="D73" s="6" t="s">
        <v>66</v>
      </c>
      <c r="E73" s="6" t="s">
        <v>10</v>
      </c>
      <c r="F73" s="6">
        <v>1</v>
      </c>
      <c r="G73" s="7">
        <v>199</v>
      </c>
      <c r="H73" s="6" t="s">
        <v>31</v>
      </c>
      <c r="I73" s="6" t="s">
        <v>11</v>
      </c>
      <c r="J73" s="6">
        <v>1</v>
      </c>
      <c r="K73" s="7">
        <v>399</v>
      </c>
      <c r="L73" s="6" t="s">
        <v>116</v>
      </c>
      <c r="M73" s="6" t="s">
        <v>116</v>
      </c>
      <c r="N73" s="6" t="s">
        <v>116</v>
      </c>
      <c r="O73" s="6" t="s">
        <v>116</v>
      </c>
      <c r="P73" s="14">
        <f t="shared" si="2"/>
        <v>598</v>
      </c>
      <c r="Q73" s="6" t="s">
        <v>117</v>
      </c>
      <c r="R73" s="6" t="s">
        <v>118</v>
      </c>
    </row>
    <row r="74" spans="1:18" ht="15" customHeight="1">
      <c r="A74" s="2" t="s">
        <v>256</v>
      </c>
      <c r="B74" s="3" t="s">
        <v>255</v>
      </c>
      <c r="C74" s="3">
        <v>2</v>
      </c>
      <c r="D74" s="3" t="s">
        <v>76</v>
      </c>
      <c r="E74" s="3" t="s">
        <v>11</v>
      </c>
      <c r="F74" s="3">
        <v>1</v>
      </c>
      <c r="G74" s="4">
        <v>215</v>
      </c>
      <c r="H74" s="10" t="s">
        <v>72</v>
      </c>
      <c r="I74" s="3" t="s">
        <v>16</v>
      </c>
      <c r="J74" s="3">
        <v>1</v>
      </c>
      <c r="K74" s="4">
        <v>249</v>
      </c>
      <c r="L74" s="3" t="s">
        <v>116</v>
      </c>
      <c r="M74" s="3" t="s">
        <v>116</v>
      </c>
      <c r="N74" s="3" t="s">
        <v>116</v>
      </c>
      <c r="O74" s="3" t="s">
        <v>116</v>
      </c>
      <c r="P74" s="4">
        <f t="shared" si="2"/>
        <v>464</v>
      </c>
      <c r="Q74" s="3" t="s">
        <v>117</v>
      </c>
      <c r="R74" s="3" t="s">
        <v>118</v>
      </c>
    </row>
    <row r="75" spans="1:18" ht="15" customHeight="1">
      <c r="A75" s="5" t="s">
        <v>257</v>
      </c>
      <c r="B75" s="6" t="s">
        <v>258</v>
      </c>
      <c r="C75" s="6">
        <v>2</v>
      </c>
      <c r="D75" s="6" t="s">
        <v>39</v>
      </c>
      <c r="E75" s="6" t="s">
        <v>11</v>
      </c>
      <c r="F75" s="6">
        <v>2</v>
      </c>
      <c r="G75" s="7">
        <v>299</v>
      </c>
      <c r="H75" s="6" t="s">
        <v>47</v>
      </c>
      <c r="I75" s="6" t="s">
        <v>10</v>
      </c>
      <c r="J75" s="6">
        <v>1</v>
      </c>
      <c r="K75" s="7">
        <v>275</v>
      </c>
      <c r="L75" s="6" t="s">
        <v>116</v>
      </c>
      <c r="M75" s="6" t="s">
        <v>116</v>
      </c>
      <c r="N75" s="6" t="s">
        <v>116</v>
      </c>
      <c r="O75" s="6" t="s">
        <v>116</v>
      </c>
      <c r="P75" s="14">
        <f t="shared" si="2"/>
        <v>873</v>
      </c>
      <c r="Q75" s="6" t="s">
        <v>117</v>
      </c>
      <c r="R75" s="6" t="s">
        <v>118</v>
      </c>
    </row>
    <row r="76" spans="1:18" ht="15" customHeight="1">
      <c r="A76" s="2" t="s">
        <v>259</v>
      </c>
      <c r="B76" s="3" t="s">
        <v>258</v>
      </c>
      <c r="C76" s="3">
        <v>2</v>
      </c>
      <c r="D76" s="3" t="s">
        <v>13</v>
      </c>
      <c r="E76" s="3" t="s">
        <v>10</v>
      </c>
      <c r="F76" s="3">
        <v>1</v>
      </c>
      <c r="G76" s="4">
        <v>499</v>
      </c>
      <c r="H76" s="3" t="s">
        <v>52</v>
      </c>
      <c r="I76" s="3" t="s">
        <v>10</v>
      </c>
      <c r="J76" s="3">
        <v>1</v>
      </c>
      <c r="K76" s="4">
        <v>199</v>
      </c>
      <c r="L76" s="3" t="s">
        <v>116</v>
      </c>
      <c r="M76" s="3" t="s">
        <v>116</v>
      </c>
      <c r="N76" s="3" t="s">
        <v>116</v>
      </c>
      <c r="O76" s="3" t="s">
        <v>116</v>
      </c>
      <c r="P76" s="4">
        <f t="shared" si="2"/>
        <v>698</v>
      </c>
      <c r="Q76" s="3" t="s">
        <v>117</v>
      </c>
      <c r="R76" s="3" t="s">
        <v>118</v>
      </c>
    </row>
    <row r="77" spans="1:18" ht="23.9" customHeight="1">
      <c r="A77" s="5" t="s">
        <v>260</v>
      </c>
      <c r="B77" s="6" t="s">
        <v>261</v>
      </c>
      <c r="C77" s="6">
        <v>3</v>
      </c>
      <c r="D77" s="6" t="s">
        <v>57</v>
      </c>
      <c r="E77" s="6" t="s">
        <v>11</v>
      </c>
      <c r="F77" s="6">
        <v>1</v>
      </c>
      <c r="G77" s="7">
        <v>249</v>
      </c>
      <c r="H77" s="9" t="s">
        <v>75</v>
      </c>
      <c r="I77" s="6" t="s">
        <v>16</v>
      </c>
      <c r="J77" s="6">
        <v>1</v>
      </c>
      <c r="K77" s="7">
        <v>150</v>
      </c>
      <c r="L77" s="6" t="s">
        <v>33</v>
      </c>
      <c r="M77" s="6" t="s">
        <v>11</v>
      </c>
      <c r="N77" s="6">
        <v>1</v>
      </c>
      <c r="O77" s="7">
        <v>375</v>
      </c>
      <c r="P77" s="14">
        <f t="shared" si="2"/>
        <v>774</v>
      </c>
      <c r="Q77" s="6" t="s">
        <v>117</v>
      </c>
      <c r="R77" s="6" t="s">
        <v>118</v>
      </c>
    </row>
    <row r="78" spans="1:18" ht="15" customHeight="1">
      <c r="A78" s="2" t="s">
        <v>262</v>
      </c>
      <c r="B78" s="3" t="s">
        <v>261</v>
      </c>
      <c r="C78" s="3">
        <v>3</v>
      </c>
      <c r="D78" s="3" t="s">
        <v>46</v>
      </c>
      <c r="E78" s="3" t="s">
        <v>11</v>
      </c>
      <c r="F78" s="3">
        <v>1</v>
      </c>
      <c r="G78" s="4">
        <v>275</v>
      </c>
      <c r="H78" s="3" t="s">
        <v>78</v>
      </c>
      <c r="I78" s="3" t="s">
        <v>11</v>
      </c>
      <c r="J78" s="3">
        <v>1</v>
      </c>
      <c r="K78" s="4">
        <v>199</v>
      </c>
      <c r="L78" s="3" t="s">
        <v>13</v>
      </c>
      <c r="M78" s="3" t="s">
        <v>10</v>
      </c>
      <c r="N78" s="3">
        <v>1</v>
      </c>
      <c r="O78" s="4">
        <v>499</v>
      </c>
      <c r="P78" s="4">
        <f t="shared" si="2"/>
        <v>973</v>
      </c>
      <c r="Q78" s="3" t="s">
        <v>117</v>
      </c>
      <c r="R78" s="3" t="s">
        <v>118</v>
      </c>
    </row>
    <row r="79" spans="1:18" ht="15" customHeight="1">
      <c r="A79" s="5" t="s">
        <v>263</v>
      </c>
      <c r="B79" s="6" t="s">
        <v>264</v>
      </c>
      <c r="C79" s="6">
        <v>1</v>
      </c>
      <c r="D79" s="6" t="s">
        <v>49</v>
      </c>
      <c r="E79" s="6" t="s">
        <v>10</v>
      </c>
      <c r="F79" s="6">
        <v>1</v>
      </c>
      <c r="G79" s="7">
        <v>275</v>
      </c>
      <c r="H79" s="6" t="s">
        <v>116</v>
      </c>
      <c r="I79" s="6" t="s">
        <v>116</v>
      </c>
      <c r="J79" s="6" t="s">
        <v>116</v>
      </c>
      <c r="K79" s="6" t="s">
        <v>116</v>
      </c>
      <c r="L79" s="6" t="s">
        <v>116</v>
      </c>
      <c r="M79" s="6" t="s">
        <v>116</v>
      </c>
      <c r="N79" s="6" t="s">
        <v>116</v>
      </c>
      <c r="O79" s="6" t="s">
        <v>116</v>
      </c>
      <c r="P79" s="14">
        <f t="shared" si="2"/>
        <v>275</v>
      </c>
      <c r="Q79" s="6" t="s">
        <v>117</v>
      </c>
      <c r="R79" s="6" t="s">
        <v>118</v>
      </c>
    </row>
    <row r="80" spans="1:18" ht="15" customHeight="1">
      <c r="A80" s="2" t="s">
        <v>265</v>
      </c>
      <c r="B80" s="3" t="s">
        <v>264</v>
      </c>
      <c r="C80" s="3">
        <v>3</v>
      </c>
      <c r="D80" s="3" t="s">
        <v>44</v>
      </c>
      <c r="E80" s="3" t="s">
        <v>10</v>
      </c>
      <c r="F80" s="3">
        <v>3</v>
      </c>
      <c r="G80" s="4">
        <v>175</v>
      </c>
      <c r="H80" s="3" t="s">
        <v>67</v>
      </c>
      <c r="I80" s="3" t="s">
        <v>19</v>
      </c>
      <c r="J80" s="3">
        <v>1</v>
      </c>
      <c r="K80" s="4">
        <v>199</v>
      </c>
      <c r="L80" s="10" t="s">
        <v>94</v>
      </c>
      <c r="M80" s="3" t="s">
        <v>16</v>
      </c>
      <c r="N80" s="3">
        <v>1</v>
      </c>
      <c r="O80" s="4">
        <v>75</v>
      </c>
      <c r="P80" s="4">
        <f t="shared" si="2"/>
        <v>799</v>
      </c>
      <c r="Q80" s="3" t="s">
        <v>117</v>
      </c>
      <c r="R80" s="3" t="s">
        <v>118</v>
      </c>
    </row>
    <row r="81" spans="1:18" ht="15" customHeight="1">
      <c r="A81" s="5" t="s">
        <v>266</v>
      </c>
      <c r="B81" s="6" t="s">
        <v>267</v>
      </c>
      <c r="C81" s="6">
        <v>3</v>
      </c>
      <c r="D81" s="9" t="s">
        <v>73</v>
      </c>
      <c r="E81" s="6" t="s">
        <v>16</v>
      </c>
      <c r="F81" s="6">
        <v>1</v>
      </c>
      <c r="G81" s="7">
        <v>249</v>
      </c>
      <c r="H81" s="6" t="s">
        <v>38</v>
      </c>
      <c r="I81" s="6" t="s">
        <v>11</v>
      </c>
      <c r="J81" s="6">
        <v>1</v>
      </c>
      <c r="K81" s="7">
        <v>299</v>
      </c>
      <c r="L81" s="6" t="s">
        <v>64</v>
      </c>
      <c r="M81" s="6" t="s">
        <v>10</v>
      </c>
      <c r="N81" s="6">
        <v>1</v>
      </c>
      <c r="O81" s="7">
        <v>225</v>
      </c>
      <c r="P81" s="14">
        <f t="shared" si="2"/>
        <v>773</v>
      </c>
      <c r="Q81" s="6" t="s">
        <v>117</v>
      </c>
      <c r="R81" s="6" t="s">
        <v>118</v>
      </c>
    </row>
    <row r="82" spans="1:18" ht="15" customHeight="1">
      <c r="A82" s="2" t="s">
        <v>268</v>
      </c>
      <c r="B82" s="3" t="s">
        <v>267</v>
      </c>
      <c r="C82" s="3">
        <v>2</v>
      </c>
      <c r="D82" s="3" t="s">
        <v>33</v>
      </c>
      <c r="E82" s="3" t="s">
        <v>11</v>
      </c>
      <c r="F82" s="3">
        <v>1</v>
      </c>
      <c r="G82" s="4">
        <v>375</v>
      </c>
      <c r="H82" s="3" t="s">
        <v>66</v>
      </c>
      <c r="I82" s="3" t="s">
        <v>10</v>
      </c>
      <c r="J82" s="3">
        <v>1</v>
      </c>
      <c r="K82" s="4">
        <v>199</v>
      </c>
      <c r="L82" s="3" t="s">
        <v>116</v>
      </c>
      <c r="M82" s="3" t="s">
        <v>116</v>
      </c>
      <c r="N82" s="3" t="s">
        <v>116</v>
      </c>
      <c r="O82" s="3" t="s">
        <v>116</v>
      </c>
      <c r="P82" s="4">
        <f t="shared" si="2"/>
        <v>574</v>
      </c>
      <c r="Q82" s="3" t="s">
        <v>117</v>
      </c>
      <c r="R82" s="3" t="s">
        <v>118</v>
      </c>
    </row>
    <row r="83" spans="1:18" ht="15" customHeight="1">
      <c r="A83" s="5" t="s">
        <v>269</v>
      </c>
      <c r="B83" s="6" t="s">
        <v>270</v>
      </c>
      <c r="C83" s="6">
        <v>1</v>
      </c>
      <c r="D83" s="6" t="s">
        <v>49</v>
      </c>
      <c r="E83" s="6" t="s">
        <v>10</v>
      </c>
      <c r="F83" s="6">
        <v>2</v>
      </c>
      <c r="G83" s="7">
        <v>275</v>
      </c>
      <c r="H83" s="6" t="s">
        <v>116</v>
      </c>
      <c r="I83" s="6" t="s">
        <v>116</v>
      </c>
      <c r="J83" s="6" t="s">
        <v>116</v>
      </c>
      <c r="K83" s="6" t="s">
        <v>116</v>
      </c>
      <c r="L83" s="6" t="s">
        <v>116</v>
      </c>
      <c r="M83" s="6" t="s">
        <v>116</v>
      </c>
      <c r="N83" s="6" t="s">
        <v>116</v>
      </c>
      <c r="O83" s="6" t="s">
        <v>116</v>
      </c>
      <c r="P83" s="14">
        <f t="shared" si="2"/>
        <v>550</v>
      </c>
      <c r="Q83" s="6" t="s">
        <v>117</v>
      </c>
      <c r="R83" s="6" t="s">
        <v>118</v>
      </c>
    </row>
    <row r="84" spans="1:18" ht="15" customHeight="1">
      <c r="A84" s="2" t="s">
        <v>271</v>
      </c>
      <c r="B84" s="3" t="s">
        <v>270</v>
      </c>
      <c r="C84" s="3">
        <v>3</v>
      </c>
      <c r="D84" s="3" t="s">
        <v>78</v>
      </c>
      <c r="E84" s="3" t="s">
        <v>11</v>
      </c>
      <c r="F84" s="3">
        <v>1</v>
      </c>
      <c r="G84" s="4">
        <v>199</v>
      </c>
      <c r="H84" s="3" t="s">
        <v>64</v>
      </c>
      <c r="I84" s="3" t="s">
        <v>10</v>
      </c>
      <c r="J84" s="3">
        <v>1</v>
      </c>
      <c r="K84" s="4">
        <v>225</v>
      </c>
      <c r="L84" s="10" t="s">
        <v>72</v>
      </c>
      <c r="M84" s="3" t="s">
        <v>16</v>
      </c>
      <c r="N84" s="3">
        <v>1</v>
      </c>
      <c r="O84" s="4">
        <v>249</v>
      </c>
      <c r="P84" s="4">
        <f t="shared" si="2"/>
        <v>673</v>
      </c>
      <c r="Q84" s="3" t="s">
        <v>117</v>
      </c>
      <c r="R84" s="3" t="s">
        <v>118</v>
      </c>
    </row>
    <row r="85" spans="1:18" ht="15" customHeight="1">
      <c r="A85" s="5" t="s">
        <v>272</v>
      </c>
      <c r="B85" s="6" t="s">
        <v>273</v>
      </c>
      <c r="C85" s="6">
        <v>2</v>
      </c>
      <c r="D85" s="6" t="s">
        <v>67</v>
      </c>
      <c r="E85" s="6" t="s">
        <v>19</v>
      </c>
      <c r="F85" s="6">
        <v>1</v>
      </c>
      <c r="G85" s="7">
        <v>199</v>
      </c>
      <c r="H85" s="6" t="s">
        <v>44</v>
      </c>
      <c r="I85" s="6" t="s">
        <v>10</v>
      </c>
      <c r="J85" s="6">
        <v>2</v>
      </c>
      <c r="K85" s="7">
        <v>175</v>
      </c>
      <c r="L85" s="6" t="s">
        <v>116</v>
      </c>
      <c r="M85" s="6" t="s">
        <v>116</v>
      </c>
      <c r="N85" s="6" t="s">
        <v>116</v>
      </c>
      <c r="O85" s="6" t="s">
        <v>116</v>
      </c>
      <c r="P85" s="14">
        <f t="shared" si="2"/>
        <v>549</v>
      </c>
      <c r="Q85" s="6" t="s">
        <v>145</v>
      </c>
      <c r="R85" s="6" t="s">
        <v>118</v>
      </c>
    </row>
    <row r="86" spans="1:18" ht="15" customHeight="1">
      <c r="A86" s="2" t="s">
        <v>274</v>
      </c>
      <c r="B86" s="3" t="s">
        <v>273</v>
      </c>
      <c r="C86" s="3">
        <v>1</v>
      </c>
      <c r="D86" s="10" t="s">
        <v>73</v>
      </c>
      <c r="E86" s="3" t="s">
        <v>16</v>
      </c>
      <c r="F86" s="3">
        <v>1</v>
      </c>
      <c r="G86" s="4">
        <v>249</v>
      </c>
      <c r="H86" s="3" t="s">
        <v>116</v>
      </c>
      <c r="I86" s="3" t="s">
        <v>116</v>
      </c>
      <c r="J86" s="3" t="s">
        <v>116</v>
      </c>
      <c r="K86" s="3" t="s">
        <v>116</v>
      </c>
      <c r="L86" s="3" t="s">
        <v>116</v>
      </c>
      <c r="M86" s="3" t="s">
        <v>116</v>
      </c>
      <c r="N86" s="3" t="s">
        <v>116</v>
      </c>
      <c r="O86" s="3" t="s">
        <v>116</v>
      </c>
      <c r="P86" s="4">
        <f t="shared" si="2"/>
        <v>249</v>
      </c>
      <c r="Q86" s="3" t="s">
        <v>117</v>
      </c>
      <c r="R86" s="3" t="s">
        <v>118</v>
      </c>
    </row>
    <row r="87" spans="1:18" ht="15" customHeight="1">
      <c r="A87" s="5" t="s">
        <v>275</v>
      </c>
      <c r="B87" s="6" t="s">
        <v>276</v>
      </c>
      <c r="C87" s="6">
        <v>3</v>
      </c>
      <c r="D87" s="6" t="s">
        <v>31</v>
      </c>
      <c r="E87" s="6" t="s">
        <v>11</v>
      </c>
      <c r="F87" s="6">
        <v>1</v>
      </c>
      <c r="G87" s="7">
        <v>399</v>
      </c>
      <c r="H87" s="6" t="s">
        <v>13</v>
      </c>
      <c r="I87" s="6" t="s">
        <v>10</v>
      </c>
      <c r="J87" s="6">
        <v>1</v>
      </c>
      <c r="K87" s="7">
        <v>499</v>
      </c>
      <c r="L87" s="9" t="s">
        <v>94</v>
      </c>
      <c r="M87" s="6" t="s">
        <v>16</v>
      </c>
      <c r="N87" s="6">
        <v>1</v>
      </c>
      <c r="O87" s="7">
        <v>75</v>
      </c>
      <c r="P87" s="14">
        <f t="shared" si="2"/>
        <v>973</v>
      </c>
      <c r="Q87" s="6" t="s">
        <v>117</v>
      </c>
      <c r="R87" s="6" t="s">
        <v>118</v>
      </c>
    </row>
    <row r="88" spans="1:18" ht="15" customHeight="1">
      <c r="A88" s="2" t="s">
        <v>277</v>
      </c>
      <c r="B88" s="3" t="s">
        <v>276</v>
      </c>
      <c r="C88" s="3">
        <v>2</v>
      </c>
      <c r="D88" s="3" t="s">
        <v>46</v>
      </c>
      <c r="E88" s="3" t="s">
        <v>11</v>
      </c>
      <c r="F88" s="3">
        <v>1</v>
      </c>
      <c r="G88" s="4">
        <v>275</v>
      </c>
      <c r="H88" s="3" t="s">
        <v>43</v>
      </c>
      <c r="I88" s="3" t="s">
        <v>10</v>
      </c>
      <c r="J88" s="3">
        <v>1</v>
      </c>
      <c r="K88" s="4">
        <v>175</v>
      </c>
      <c r="L88" s="3" t="s">
        <v>116</v>
      </c>
      <c r="M88" s="3" t="s">
        <v>116</v>
      </c>
      <c r="N88" s="3" t="s">
        <v>116</v>
      </c>
      <c r="O88" s="3" t="s">
        <v>116</v>
      </c>
      <c r="P88" s="4">
        <f t="shared" si="2"/>
        <v>450</v>
      </c>
      <c r="Q88" s="3" t="s">
        <v>117</v>
      </c>
      <c r="R88" s="3" t="s">
        <v>118</v>
      </c>
    </row>
    <row r="89" spans="1:18" ht="23.9" customHeight="1">
      <c r="A89" s="5" t="s">
        <v>278</v>
      </c>
      <c r="B89" s="6" t="s">
        <v>279</v>
      </c>
      <c r="C89" s="6">
        <v>1</v>
      </c>
      <c r="D89" s="9" t="s">
        <v>75</v>
      </c>
      <c r="E89" s="6" t="s">
        <v>16</v>
      </c>
      <c r="F89" s="6">
        <v>2</v>
      </c>
      <c r="G89" s="7">
        <v>150</v>
      </c>
      <c r="H89" s="6" t="s">
        <v>116</v>
      </c>
      <c r="I89" s="6" t="s">
        <v>116</v>
      </c>
      <c r="J89" s="6" t="s">
        <v>116</v>
      </c>
      <c r="K89" s="6" t="s">
        <v>116</v>
      </c>
      <c r="L89" s="6" t="s">
        <v>116</v>
      </c>
      <c r="M89" s="6" t="s">
        <v>116</v>
      </c>
      <c r="N89" s="6" t="s">
        <v>116</v>
      </c>
      <c r="O89" s="6" t="s">
        <v>116</v>
      </c>
      <c r="P89" s="14">
        <f t="shared" si="2"/>
        <v>300</v>
      </c>
      <c r="Q89" s="6" t="s">
        <v>117</v>
      </c>
      <c r="R89" s="6" t="s">
        <v>118</v>
      </c>
    </row>
    <row r="90" spans="1:18" ht="15" customHeight="1">
      <c r="A90" s="2" t="s">
        <v>280</v>
      </c>
      <c r="B90" s="3" t="s">
        <v>279</v>
      </c>
      <c r="C90" s="3">
        <v>3</v>
      </c>
      <c r="D90" s="3" t="s">
        <v>39</v>
      </c>
      <c r="E90" s="3" t="s">
        <v>11</v>
      </c>
      <c r="F90" s="3">
        <v>1</v>
      </c>
      <c r="G90" s="4">
        <v>299</v>
      </c>
      <c r="H90" s="3" t="s">
        <v>66</v>
      </c>
      <c r="I90" s="3" t="s">
        <v>10</v>
      </c>
      <c r="J90" s="3">
        <v>1</v>
      </c>
      <c r="K90" s="4">
        <v>199</v>
      </c>
      <c r="L90" s="3" t="s">
        <v>67</v>
      </c>
      <c r="M90" s="3" t="s">
        <v>19</v>
      </c>
      <c r="N90" s="3">
        <v>1</v>
      </c>
      <c r="O90" s="4">
        <v>199</v>
      </c>
      <c r="P90" s="4">
        <f t="shared" si="2"/>
        <v>697</v>
      </c>
      <c r="Q90" s="3" t="s">
        <v>117</v>
      </c>
      <c r="R90" s="3" t="s">
        <v>118</v>
      </c>
    </row>
    <row r="91" spans="1:18" ht="15" customHeight="1">
      <c r="A91" s="5" t="s">
        <v>281</v>
      </c>
      <c r="B91" s="6" t="s">
        <v>282</v>
      </c>
      <c r="C91" s="6">
        <v>2</v>
      </c>
      <c r="D91" s="6" t="s">
        <v>64</v>
      </c>
      <c r="E91" s="6" t="s">
        <v>10</v>
      </c>
      <c r="F91" s="6">
        <v>1</v>
      </c>
      <c r="G91" s="7">
        <v>225</v>
      </c>
      <c r="H91" s="6" t="s">
        <v>33</v>
      </c>
      <c r="I91" s="6" t="s">
        <v>11</v>
      </c>
      <c r="J91" s="6">
        <v>1</v>
      </c>
      <c r="K91" s="7">
        <v>375</v>
      </c>
      <c r="L91" s="6" t="s">
        <v>116</v>
      </c>
      <c r="M91" s="6" t="s">
        <v>116</v>
      </c>
      <c r="N91" s="6" t="s">
        <v>116</v>
      </c>
      <c r="O91" s="6" t="s">
        <v>116</v>
      </c>
      <c r="P91" s="14">
        <f t="shared" si="2"/>
        <v>600</v>
      </c>
      <c r="Q91" s="6" t="s">
        <v>117</v>
      </c>
      <c r="R91" s="6" t="s">
        <v>118</v>
      </c>
    </row>
    <row r="92" spans="1:18" ht="15" customHeight="1">
      <c r="A92" s="2" t="s">
        <v>283</v>
      </c>
      <c r="B92" s="3" t="s">
        <v>282</v>
      </c>
      <c r="C92" s="3">
        <v>2</v>
      </c>
      <c r="D92" s="3" t="s">
        <v>25</v>
      </c>
      <c r="E92" s="3" t="s">
        <v>11</v>
      </c>
      <c r="F92" s="3">
        <v>1</v>
      </c>
      <c r="G92" s="4">
        <v>249</v>
      </c>
      <c r="H92" s="3" t="s">
        <v>32</v>
      </c>
      <c r="I92" s="3" t="s">
        <v>11</v>
      </c>
      <c r="J92" s="3">
        <v>1</v>
      </c>
      <c r="K92" s="4">
        <v>299</v>
      </c>
      <c r="L92" s="3" t="s">
        <v>116</v>
      </c>
      <c r="M92" s="3" t="s">
        <v>116</v>
      </c>
      <c r="N92" s="3" t="s">
        <v>116</v>
      </c>
      <c r="O92" s="3" t="s">
        <v>116</v>
      </c>
      <c r="P92" s="4">
        <f t="shared" si="2"/>
        <v>548</v>
      </c>
      <c r="Q92" s="3" t="s">
        <v>123</v>
      </c>
      <c r="R92" s="3" t="s">
        <v>118</v>
      </c>
    </row>
    <row r="93" spans="1:18" ht="15" customHeight="1">
      <c r="A93" s="5" t="s">
        <v>284</v>
      </c>
      <c r="B93" s="6" t="s">
        <v>285</v>
      </c>
      <c r="C93" s="6">
        <v>3</v>
      </c>
      <c r="D93" s="6" t="s">
        <v>95</v>
      </c>
      <c r="E93" s="6" t="s">
        <v>16</v>
      </c>
      <c r="F93" s="6">
        <v>1</v>
      </c>
      <c r="G93" s="7">
        <v>149</v>
      </c>
      <c r="H93" s="6" t="s">
        <v>88</v>
      </c>
      <c r="I93" s="6" t="s">
        <v>10</v>
      </c>
      <c r="J93" s="6">
        <v>1</v>
      </c>
      <c r="K93" s="7">
        <v>299</v>
      </c>
      <c r="L93" s="6" t="s">
        <v>31</v>
      </c>
      <c r="M93" s="6" t="s">
        <v>11</v>
      </c>
      <c r="N93" s="6">
        <v>1</v>
      </c>
      <c r="O93" s="7">
        <v>399</v>
      </c>
      <c r="P93" s="14">
        <f t="shared" si="2"/>
        <v>847</v>
      </c>
      <c r="Q93" s="6" t="s">
        <v>117</v>
      </c>
      <c r="R93" s="6" t="s">
        <v>118</v>
      </c>
    </row>
    <row r="94" spans="1:18" ht="15" customHeight="1">
      <c r="A94" s="2" t="s">
        <v>286</v>
      </c>
      <c r="B94" s="3" t="s">
        <v>287</v>
      </c>
      <c r="C94" s="3">
        <v>2</v>
      </c>
      <c r="D94" s="3" t="s">
        <v>74</v>
      </c>
      <c r="E94" s="3" t="s">
        <v>11</v>
      </c>
      <c r="F94" s="3">
        <v>1</v>
      </c>
      <c r="G94" s="4">
        <v>475</v>
      </c>
      <c r="H94" s="3" t="s">
        <v>36</v>
      </c>
      <c r="I94" s="3" t="s">
        <v>11</v>
      </c>
      <c r="J94" s="3">
        <v>1</v>
      </c>
      <c r="K94" s="4">
        <v>349</v>
      </c>
      <c r="L94" s="3" t="s">
        <v>116</v>
      </c>
      <c r="M94" s="3" t="s">
        <v>116</v>
      </c>
      <c r="N94" s="3" t="s">
        <v>116</v>
      </c>
      <c r="O94" s="3" t="s">
        <v>116</v>
      </c>
      <c r="P94" s="4">
        <f t="shared" si="2"/>
        <v>824</v>
      </c>
      <c r="Q94" s="3" t="s">
        <v>117</v>
      </c>
      <c r="R94" s="3" t="s">
        <v>118</v>
      </c>
    </row>
    <row r="95" spans="1:18" ht="15" customHeight="1">
      <c r="A95" s="5" t="s">
        <v>288</v>
      </c>
      <c r="B95" s="6" t="s">
        <v>289</v>
      </c>
      <c r="C95" s="6">
        <v>3</v>
      </c>
      <c r="D95" s="6" t="s">
        <v>53</v>
      </c>
      <c r="E95" s="6" t="s">
        <v>10</v>
      </c>
      <c r="F95" s="6">
        <v>1</v>
      </c>
      <c r="G95" s="7">
        <v>199</v>
      </c>
      <c r="H95" s="6" t="s">
        <v>76</v>
      </c>
      <c r="I95" s="6" t="s">
        <v>11</v>
      </c>
      <c r="J95" s="6">
        <v>1</v>
      </c>
      <c r="K95" s="7">
        <v>215</v>
      </c>
      <c r="L95" s="9" t="s">
        <v>68</v>
      </c>
      <c r="M95" s="6" t="s">
        <v>16</v>
      </c>
      <c r="N95" s="6">
        <v>1</v>
      </c>
      <c r="O95" s="7">
        <v>149</v>
      </c>
      <c r="P95" s="14">
        <f t="shared" si="2"/>
        <v>563</v>
      </c>
      <c r="Q95" s="6" t="s">
        <v>117</v>
      </c>
      <c r="R95" s="6" t="s">
        <v>118</v>
      </c>
    </row>
    <row r="96" spans="1:18" ht="23.9" customHeight="1">
      <c r="A96" s="2" t="s">
        <v>290</v>
      </c>
      <c r="B96" s="3" t="s">
        <v>291</v>
      </c>
      <c r="C96" s="3">
        <v>1</v>
      </c>
      <c r="D96" s="3" t="s">
        <v>54</v>
      </c>
      <c r="E96" s="3" t="s">
        <v>19</v>
      </c>
      <c r="F96" s="3">
        <v>2</v>
      </c>
      <c r="G96" s="4">
        <v>199</v>
      </c>
      <c r="H96" s="3" t="s">
        <v>116</v>
      </c>
      <c r="I96" s="3" t="s">
        <v>116</v>
      </c>
      <c r="J96" s="3" t="s">
        <v>116</v>
      </c>
      <c r="K96" s="3" t="s">
        <v>116</v>
      </c>
      <c r="L96" s="3" t="s">
        <v>116</v>
      </c>
      <c r="M96" s="3" t="s">
        <v>116</v>
      </c>
      <c r="N96" s="3" t="s">
        <v>116</v>
      </c>
      <c r="O96" s="3" t="s">
        <v>116</v>
      </c>
      <c r="P96" s="4">
        <f t="shared" si="2"/>
        <v>398</v>
      </c>
      <c r="Q96" s="3" t="s">
        <v>117</v>
      </c>
      <c r="R96" s="3" t="s">
        <v>118</v>
      </c>
    </row>
    <row r="97" spans="1:18" ht="15" customHeight="1">
      <c r="A97" s="5" t="s">
        <v>292</v>
      </c>
      <c r="B97" s="6" t="s">
        <v>293</v>
      </c>
      <c r="C97" s="6">
        <v>1</v>
      </c>
      <c r="D97" s="6" t="s">
        <v>25</v>
      </c>
      <c r="E97" s="6" t="s">
        <v>11</v>
      </c>
      <c r="F97" s="6">
        <v>1</v>
      </c>
      <c r="G97" s="7">
        <v>249</v>
      </c>
      <c r="H97" s="6" t="s">
        <v>116</v>
      </c>
      <c r="I97" s="6" t="s">
        <v>116</v>
      </c>
      <c r="J97" s="6" t="s">
        <v>116</v>
      </c>
      <c r="K97" s="6" t="s">
        <v>116</v>
      </c>
      <c r="L97" s="6" t="s">
        <v>116</v>
      </c>
      <c r="M97" s="6" t="s">
        <v>116</v>
      </c>
      <c r="N97" s="6" t="s">
        <v>116</v>
      </c>
      <c r="O97" s="6" t="s">
        <v>116</v>
      </c>
      <c r="P97" s="14">
        <f t="shared" si="2"/>
        <v>249</v>
      </c>
      <c r="Q97" s="6" t="s">
        <v>117</v>
      </c>
      <c r="R97" s="6" t="s">
        <v>118</v>
      </c>
    </row>
    <row r="98" spans="1:18" ht="35" customHeight="1">
      <c r="A98" s="2" t="s">
        <v>294</v>
      </c>
      <c r="B98" s="3" t="s">
        <v>295</v>
      </c>
      <c r="C98" s="3">
        <v>3</v>
      </c>
      <c r="D98" s="10" t="s">
        <v>296</v>
      </c>
      <c r="E98" s="3" t="s">
        <v>16</v>
      </c>
      <c r="F98" s="3">
        <v>1</v>
      </c>
      <c r="G98" s="4">
        <v>249</v>
      </c>
      <c r="H98" s="10" t="s">
        <v>91</v>
      </c>
      <c r="I98" s="3" t="s">
        <v>16</v>
      </c>
      <c r="J98" s="3">
        <v>1</v>
      </c>
      <c r="K98" s="4">
        <v>249</v>
      </c>
      <c r="L98" s="3" t="s">
        <v>87</v>
      </c>
      <c r="M98" s="3" t="s">
        <v>11</v>
      </c>
      <c r="N98" s="3">
        <v>1</v>
      </c>
      <c r="O98" s="4">
        <v>349</v>
      </c>
      <c r="P98" s="4">
        <f>IFERROR(F98*G98,0)+IFERROR(J98*K98,0)+IFERROR(N98*O98,0)</f>
        <v>847</v>
      </c>
      <c r="Q98" s="3" t="s">
        <v>117</v>
      </c>
      <c r="R98" s="3" t="s">
        <v>118</v>
      </c>
    </row>
    <row r="99" spans="1:18" ht="15" customHeight="1">
      <c r="A99" s="5" t="s">
        <v>297</v>
      </c>
      <c r="B99" s="6" t="s">
        <v>298</v>
      </c>
      <c r="C99" s="6">
        <v>2</v>
      </c>
      <c r="D99" s="6" t="s">
        <v>18</v>
      </c>
      <c r="E99" s="6" t="s">
        <v>11</v>
      </c>
      <c r="F99" s="6">
        <v>2</v>
      </c>
      <c r="G99" s="7">
        <v>349</v>
      </c>
      <c r="H99" s="6" t="s">
        <v>58</v>
      </c>
      <c r="I99" s="6" t="s">
        <v>11</v>
      </c>
      <c r="J99" s="6">
        <v>1</v>
      </c>
      <c r="K99" s="7">
        <v>249</v>
      </c>
      <c r="L99" s="6" t="s">
        <v>116</v>
      </c>
      <c r="M99" s="6" t="s">
        <v>116</v>
      </c>
      <c r="N99" s="6" t="s">
        <v>116</v>
      </c>
      <c r="O99" s="6" t="s">
        <v>116</v>
      </c>
      <c r="P99" s="14">
        <f>IFERROR(F99*G99,0)+IFERROR(J99*K99,0)+IFERROR(N99*O99,0)</f>
        <v>947</v>
      </c>
      <c r="Q99" s="6" t="s">
        <v>117</v>
      </c>
      <c r="R99" s="6" t="s">
        <v>118</v>
      </c>
    </row>
    <row r="100" spans="1:18" ht="15" customHeight="1">
      <c r="A100" s="2" t="s">
        <v>299</v>
      </c>
      <c r="B100" s="3" t="s">
        <v>300</v>
      </c>
      <c r="C100" s="3">
        <v>1</v>
      </c>
      <c r="D100" s="3" t="s">
        <v>46</v>
      </c>
      <c r="E100" s="3" t="s">
        <v>11</v>
      </c>
      <c r="F100" s="3">
        <v>1</v>
      </c>
      <c r="G100" s="4">
        <v>275</v>
      </c>
      <c r="H100" s="3" t="s">
        <v>116</v>
      </c>
      <c r="I100" s="3" t="s">
        <v>116</v>
      </c>
      <c r="J100" s="3" t="s">
        <v>116</v>
      </c>
      <c r="K100" s="3" t="s">
        <v>116</v>
      </c>
      <c r="L100" s="3" t="s">
        <v>116</v>
      </c>
      <c r="M100" s="3" t="s">
        <v>116</v>
      </c>
      <c r="N100" s="3" t="s">
        <v>116</v>
      </c>
      <c r="O100" s="3" t="s">
        <v>116</v>
      </c>
      <c r="P100" s="4">
        <f>IFERROR(F100*G100,0)+IFERROR(J100*K100,0)+IFERROR(N100*O100,0)</f>
        <v>275</v>
      </c>
      <c r="Q100" s="3" t="s">
        <v>117</v>
      </c>
      <c r="R100" s="3" t="s">
        <v>118</v>
      </c>
    </row>
    <row r="101" spans="1:18" ht="15" customHeight="1">
      <c r="A101" s="5" t="s">
        <v>301</v>
      </c>
      <c r="B101" s="6" t="s">
        <v>302</v>
      </c>
      <c r="C101" s="6">
        <v>1</v>
      </c>
      <c r="D101" s="6" t="s">
        <v>89</v>
      </c>
      <c r="E101" s="6" t="s">
        <v>10</v>
      </c>
      <c r="F101" s="6">
        <v>1</v>
      </c>
      <c r="G101" s="7">
        <v>299</v>
      </c>
      <c r="H101" s="6" t="s">
        <v>116</v>
      </c>
      <c r="I101" s="6" t="s">
        <v>116</v>
      </c>
      <c r="J101" s="6" t="s">
        <v>116</v>
      </c>
      <c r="K101" s="6" t="s">
        <v>116</v>
      </c>
      <c r="L101" s="6" t="s">
        <v>116</v>
      </c>
      <c r="M101" s="6" t="s">
        <v>116</v>
      </c>
      <c r="N101" s="6" t="s">
        <v>116</v>
      </c>
      <c r="O101" s="6" t="s">
        <v>116</v>
      </c>
      <c r="P101" s="14">
        <f>IFERROR(F101*G101,0)+IFERROR(J101*K101,0)+IFERROR(N101*O101,0)</f>
        <v>299</v>
      </c>
      <c r="Q101" s="6" t="s">
        <v>117</v>
      </c>
      <c r="R101" s="6" t="s">
        <v>118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205"/>
  <sheetViews>
    <sheetView showGridLines="0" zoomScale="57" zoomScaleNormal="57" workbookViewId="0">
      <selection activeCell="X58" sqref="X58"/>
    </sheetView>
  </sheetViews>
  <sheetFormatPr defaultColWidth="8.6328125" defaultRowHeight="14.5"/>
  <cols>
    <col min="1" max="1" width="5" customWidth="1"/>
    <col min="2" max="2" width="10" customWidth="1"/>
    <col min="3" max="3" width="46" customWidth="1"/>
    <col min="4" max="4" width="13" customWidth="1"/>
    <col min="5" max="5" width="18" customWidth="1"/>
    <col min="6" max="6" width="6" customWidth="1"/>
    <col min="7" max="8" width="14" customWidth="1"/>
    <col min="9" max="9" width="8.6328125" customWidth="1"/>
    <col min="10" max="10" width="7.81640625" customWidth="1"/>
    <col min="11" max="11" width="12.36328125" bestFit="1" customWidth="1"/>
    <col min="12" max="12" width="25.36328125" customWidth="1"/>
    <col min="13" max="13" width="19.453125" customWidth="1"/>
    <col min="14" max="14" width="7.54296875" bestFit="1" customWidth="1"/>
    <col min="15" max="15" width="11.1796875" customWidth="1"/>
    <col min="16" max="16" width="10" customWidth="1"/>
    <col min="17" max="17" width="7.54296875" bestFit="1" customWidth="1"/>
    <col min="18" max="18" width="9.81640625" customWidth="1"/>
    <col min="19" max="19" width="15.36328125" customWidth="1"/>
    <col min="20" max="20" width="13.1796875" customWidth="1"/>
    <col min="21" max="21" width="10.36328125" customWidth="1"/>
    <col min="22" max="23" width="4.7265625" customWidth="1"/>
    <col min="24" max="24" width="5.6328125" customWidth="1"/>
    <col min="25" max="25" width="7.36328125" customWidth="1"/>
    <col min="26" max="26" width="6.36328125" customWidth="1"/>
    <col min="27" max="27" width="6.7265625" customWidth="1"/>
    <col min="28" max="28" width="7.1796875" customWidth="1"/>
    <col min="29" max="29" width="6.26953125" customWidth="1"/>
    <col min="30" max="30" width="20.36328125" customWidth="1"/>
    <col min="31" max="31" width="8.26953125" customWidth="1"/>
    <col min="32" max="32" width="7.54296875" customWidth="1"/>
    <col min="33" max="33" width="7.54296875" bestFit="1" customWidth="1"/>
    <col min="34" max="34" width="14" customWidth="1"/>
    <col min="35" max="35" width="6" customWidth="1"/>
    <col min="36" max="36" width="7.54296875" bestFit="1" customWidth="1"/>
    <col min="37" max="37" width="12.1796875" customWidth="1"/>
    <col min="38" max="111" width="7.54296875" bestFit="1" customWidth="1"/>
    <col min="112" max="112" width="10.7265625" bestFit="1" customWidth="1"/>
  </cols>
  <sheetData>
    <row r="1" spans="1:31" ht="31.5" customHeight="1">
      <c r="A1" s="1" t="s">
        <v>0</v>
      </c>
      <c r="B1" s="1" t="s">
        <v>96</v>
      </c>
      <c r="C1" s="1" t="s">
        <v>1</v>
      </c>
      <c r="D1" s="1" t="s">
        <v>2</v>
      </c>
      <c r="E1" s="1" t="s">
        <v>97</v>
      </c>
      <c r="F1" s="1" t="s">
        <v>303</v>
      </c>
      <c r="G1" s="1" t="s">
        <v>4</v>
      </c>
      <c r="H1" s="1" t="s">
        <v>304</v>
      </c>
      <c r="I1" s="1" t="s">
        <v>305</v>
      </c>
      <c r="K1" s="11" t="s">
        <v>2</v>
      </c>
      <c r="L1" t="s">
        <v>306</v>
      </c>
      <c r="U1" s="52" t="s">
        <v>2</v>
      </c>
      <c r="V1" s="53" t="s">
        <v>315</v>
      </c>
      <c r="W1" s="53" t="s">
        <v>317</v>
      </c>
      <c r="X1" s="53" t="s">
        <v>319</v>
      </c>
      <c r="Y1" s="54" t="s">
        <v>418</v>
      </c>
      <c r="Z1" s="54" t="s">
        <v>467</v>
      </c>
      <c r="AA1" s="54" t="s">
        <v>474</v>
      </c>
      <c r="AD1" s="15" t="s">
        <v>307</v>
      </c>
      <c r="AE1" s="16"/>
    </row>
    <row r="2" spans="1:31" ht="15" customHeight="1">
      <c r="A2" s="2">
        <v>1</v>
      </c>
      <c r="B2" s="2" t="s">
        <v>114</v>
      </c>
      <c r="C2" s="3" t="s">
        <v>42</v>
      </c>
      <c r="D2" s="3" t="s">
        <v>10</v>
      </c>
      <c r="E2" s="3" t="s">
        <v>115</v>
      </c>
      <c r="F2" s="3">
        <v>1</v>
      </c>
      <c r="G2" s="4">
        <v>175</v>
      </c>
      <c r="H2" s="4">
        <f t="shared" ref="H2:H65" si="0">F2*G2</f>
        <v>175</v>
      </c>
      <c r="I2" s="4" t="str">
        <f t="shared" ref="I2:I65" si="1">TEXT(DATE(RIGHT(E2,4),MID(E2,4,2),LEFT(E2,2)),"MMM")</f>
        <v>Mar</v>
      </c>
      <c r="K2" s="12" t="s">
        <v>11</v>
      </c>
      <c r="L2">
        <v>68</v>
      </c>
      <c r="U2" s="30" t="s">
        <v>16</v>
      </c>
      <c r="V2" s="28">
        <f>SUMIFS($F:$F,$D:$D,$U2,$I:$I,V$1)</f>
        <v>2</v>
      </c>
      <c r="W2" s="28">
        <f t="shared" ref="W2:X5" si="2">SUMIFS($F:$F,$D:$D,$U2,$I:$I,W$1)</f>
        <v>17</v>
      </c>
      <c r="X2" s="28">
        <f t="shared" si="2"/>
        <v>20</v>
      </c>
      <c r="Y2" s="50">
        <f>AVERAGE(V2:X2)</f>
        <v>13</v>
      </c>
      <c r="Z2" s="50">
        <f>_xlfn.STDEV.S(V2:X2)</f>
        <v>9.6436507609929549</v>
      </c>
      <c r="AA2">
        <f>Z2/Y2*100</f>
        <v>74.181928930715031</v>
      </c>
      <c r="AD2" s="17" t="s">
        <v>308</v>
      </c>
      <c r="AE2" s="18">
        <f>COUNTIF($I$2:$I$205,"Mar")</f>
        <v>45</v>
      </c>
    </row>
    <row r="3" spans="1:31" ht="15" customHeight="1">
      <c r="A3" s="5">
        <v>2</v>
      </c>
      <c r="B3" s="5" t="s">
        <v>114</v>
      </c>
      <c r="C3" s="6" t="s">
        <v>59</v>
      </c>
      <c r="D3" s="6" t="s">
        <v>10</v>
      </c>
      <c r="E3" s="6" t="s">
        <v>115</v>
      </c>
      <c r="F3" s="6">
        <v>1</v>
      </c>
      <c r="G3" s="7">
        <v>249</v>
      </c>
      <c r="H3" s="14">
        <f t="shared" si="0"/>
        <v>249</v>
      </c>
      <c r="I3" s="14" t="str">
        <f t="shared" si="1"/>
        <v>Mar</v>
      </c>
      <c r="K3" s="12" t="s">
        <v>10</v>
      </c>
      <c r="L3">
        <v>102</v>
      </c>
      <c r="U3" s="30" t="s">
        <v>19</v>
      </c>
      <c r="V3" s="28">
        <f>SUMIFS($F:$F,$D:$D,$U3,$I:$I,V$1)</f>
        <v>3</v>
      </c>
      <c r="W3" s="28">
        <f t="shared" si="2"/>
        <v>7</v>
      </c>
      <c r="X3" s="28">
        <f t="shared" si="2"/>
        <v>10</v>
      </c>
      <c r="Y3" s="50">
        <f>AVERAGE(V3:X3)</f>
        <v>6.666666666666667</v>
      </c>
      <c r="Z3" s="50">
        <f>_xlfn.STDEV.S(V3:X3)</f>
        <v>3.5118845842842457</v>
      </c>
      <c r="AA3">
        <f>Z3/Y3*100</f>
        <v>52.678268764263677</v>
      </c>
      <c r="AD3" s="17" t="s">
        <v>309</v>
      </c>
      <c r="AE3" s="18">
        <f>COUNTIF($I$2:$I$205,"Apr")</f>
        <v>67</v>
      </c>
    </row>
    <row r="4" spans="1:31" ht="15" customHeight="1">
      <c r="A4" s="2">
        <v>3</v>
      </c>
      <c r="B4" s="2" t="s">
        <v>119</v>
      </c>
      <c r="C4" s="3" t="s">
        <v>51</v>
      </c>
      <c r="D4" s="3" t="s">
        <v>11</v>
      </c>
      <c r="E4" s="3" t="s">
        <v>120</v>
      </c>
      <c r="F4" s="3">
        <v>1</v>
      </c>
      <c r="G4" s="4">
        <v>399</v>
      </c>
      <c r="H4" s="4">
        <f t="shared" si="0"/>
        <v>399</v>
      </c>
      <c r="I4" s="4" t="str">
        <f t="shared" si="1"/>
        <v>Mar</v>
      </c>
      <c r="K4" s="12" t="s">
        <v>19</v>
      </c>
      <c r="L4">
        <v>20</v>
      </c>
      <c r="U4" s="30" t="s">
        <v>11</v>
      </c>
      <c r="V4" s="28">
        <f>SUMIFS($F:$F,$D:$D,$U4,$I:$I,V$1)</f>
        <v>15</v>
      </c>
      <c r="W4" s="28">
        <f t="shared" si="2"/>
        <v>21</v>
      </c>
      <c r="X4" s="28">
        <f t="shared" si="2"/>
        <v>32</v>
      </c>
      <c r="Y4" s="50">
        <f>AVERAGE(V4:X4)</f>
        <v>22.666666666666668</v>
      </c>
      <c r="Z4" s="50">
        <f>_xlfn.STDEV.S(V4:X4)</f>
        <v>8.6216781042517106</v>
      </c>
      <c r="AA4">
        <f>Z4/Y4*100</f>
        <v>38.036815165816371</v>
      </c>
      <c r="AD4" s="17" t="s">
        <v>311</v>
      </c>
      <c r="AE4" s="18">
        <f>COUNTIF($I$2:$I$205,"May")</f>
        <v>92</v>
      </c>
    </row>
    <row r="5" spans="1:31" ht="15" customHeight="1">
      <c r="A5" s="5">
        <v>4</v>
      </c>
      <c r="B5" s="5" t="s">
        <v>121</v>
      </c>
      <c r="C5" s="6" t="s">
        <v>29</v>
      </c>
      <c r="D5" s="6" t="s">
        <v>11</v>
      </c>
      <c r="E5" s="6" t="s">
        <v>122</v>
      </c>
      <c r="F5" s="6">
        <v>1</v>
      </c>
      <c r="G5" s="7">
        <v>399</v>
      </c>
      <c r="H5" s="14">
        <f t="shared" si="0"/>
        <v>399</v>
      </c>
      <c r="I5" s="14" t="str">
        <f t="shared" si="1"/>
        <v>Mar</v>
      </c>
      <c r="K5" s="12" t="s">
        <v>16</v>
      </c>
      <c r="L5">
        <v>39</v>
      </c>
      <c r="U5" s="30" t="s">
        <v>10</v>
      </c>
      <c r="V5" s="28">
        <f>SUMIFS($F:$F,$D:$D,$U5,$I:$I,V$1)</f>
        <v>29</v>
      </c>
      <c r="W5" s="28">
        <f t="shared" si="2"/>
        <v>26</v>
      </c>
      <c r="X5" s="28">
        <f t="shared" si="2"/>
        <v>47</v>
      </c>
      <c r="Y5" s="50">
        <f>AVERAGE(V5:X5)</f>
        <v>34</v>
      </c>
      <c r="Z5" s="50">
        <f>_xlfn.STDEV.S(V5:X5)</f>
        <v>11.357816691600547</v>
      </c>
      <c r="AA5">
        <f>Z5/Y5*100</f>
        <v>33.405343210589841</v>
      </c>
      <c r="AD5" s="17" t="s">
        <v>312</v>
      </c>
      <c r="AE5" s="18">
        <f>COUNTA($B$2:$B$205)</f>
        <v>204</v>
      </c>
    </row>
    <row r="6" spans="1:31" ht="15" customHeight="1">
      <c r="A6" s="2">
        <v>5</v>
      </c>
      <c r="B6" s="2" t="s">
        <v>121</v>
      </c>
      <c r="C6" s="3" t="s">
        <v>27</v>
      </c>
      <c r="D6" s="3" t="s">
        <v>10</v>
      </c>
      <c r="E6" s="3" t="s">
        <v>122</v>
      </c>
      <c r="F6" s="3">
        <v>3</v>
      </c>
      <c r="G6" s="4">
        <v>175</v>
      </c>
      <c r="H6" s="4">
        <f t="shared" si="0"/>
        <v>525</v>
      </c>
      <c r="I6" s="4" t="str">
        <f t="shared" si="1"/>
        <v>Mar</v>
      </c>
      <c r="K6" s="12" t="s">
        <v>310</v>
      </c>
      <c r="L6">
        <v>229</v>
      </c>
      <c r="AD6" s="17" t="s">
        <v>314</v>
      </c>
      <c r="AE6" s="18">
        <f>AVERAGE($H$2:$H$205)</f>
        <v>265.68627450980392</v>
      </c>
    </row>
    <row r="7" spans="1:31" ht="15" customHeight="1">
      <c r="A7" s="5">
        <v>6</v>
      </c>
      <c r="B7" s="5" t="s">
        <v>121</v>
      </c>
      <c r="C7" s="6" t="s">
        <v>65</v>
      </c>
      <c r="D7" s="6" t="s">
        <v>10</v>
      </c>
      <c r="E7" s="6" t="s">
        <v>122</v>
      </c>
      <c r="F7" s="6">
        <v>1</v>
      </c>
      <c r="G7" s="7">
        <v>299</v>
      </c>
      <c r="H7" s="14">
        <f t="shared" si="0"/>
        <v>299</v>
      </c>
      <c r="I7" s="14" t="str">
        <f t="shared" si="1"/>
        <v>Mar</v>
      </c>
      <c r="AD7" s="17" t="s">
        <v>316</v>
      </c>
      <c r="AE7" s="18">
        <f>MAX($H$2:$H$205)</f>
        <v>1400</v>
      </c>
    </row>
    <row r="8" spans="1:31" ht="15" customHeight="1">
      <c r="A8" s="2">
        <v>7</v>
      </c>
      <c r="B8" s="2" t="s">
        <v>124</v>
      </c>
      <c r="C8" s="3" t="s">
        <v>59</v>
      </c>
      <c r="D8" s="3" t="s">
        <v>10</v>
      </c>
      <c r="E8" s="3" t="s">
        <v>125</v>
      </c>
      <c r="F8" s="3">
        <v>1</v>
      </c>
      <c r="G8" s="4">
        <v>249</v>
      </c>
      <c r="H8" s="4">
        <f t="shared" si="0"/>
        <v>249</v>
      </c>
      <c r="I8" s="4" t="str">
        <f t="shared" si="1"/>
        <v>Mar</v>
      </c>
      <c r="K8" s="11" t="s">
        <v>305</v>
      </c>
      <c r="L8" t="s">
        <v>6</v>
      </c>
      <c r="AD8" s="17" t="s">
        <v>318</v>
      </c>
      <c r="AE8" s="18">
        <f>MIN($H$2:$H$205)</f>
        <v>50</v>
      </c>
    </row>
    <row r="9" spans="1:31" ht="15" customHeight="1">
      <c r="A9" s="5">
        <v>8</v>
      </c>
      <c r="B9" s="5" t="s">
        <v>124</v>
      </c>
      <c r="C9" s="6" t="s">
        <v>69</v>
      </c>
      <c r="D9" s="6" t="s">
        <v>10</v>
      </c>
      <c r="E9" s="6" t="s">
        <v>125</v>
      </c>
      <c r="F9" s="6">
        <v>1</v>
      </c>
      <c r="G9" s="7">
        <v>125</v>
      </c>
      <c r="H9" s="14">
        <f t="shared" si="0"/>
        <v>125</v>
      </c>
      <c r="I9" s="14" t="str">
        <f t="shared" si="1"/>
        <v>Mar</v>
      </c>
      <c r="K9" s="12" t="s">
        <v>315</v>
      </c>
      <c r="L9" s="13">
        <v>11106</v>
      </c>
    </row>
    <row r="10" spans="1:31" ht="15" customHeight="1">
      <c r="A10" s="2">
        <v>9</v>
      </c>
      <c r="B10" s="2" t="s">
        <v>126</v>
      </c>
      <c r="C10" s="3" t="s">
        <v>71</v>
      </c>
      <c r="D10" s="3" t="s">
        <v>11</v>
      </c>
      <c r="E10" s="3" t="s">
        <v>127</v>
      </c>
      <c r="F10" s="3">
        <v>1</v>
      </c>
      <c r="G10" s="4">
        <v>249</v>
      </c>
      <c r="H10" s="4">
        <f t="shared" si="0"/>
        <v>249</v>
      </c>
      <c r="I10" s="4" t="str">
        <f t="shared" si="1"/>
        <v>Mar</v>
      </c>
      <c r="K10" s="12" t="s">
        <v>317</v>
      </c>
      <c r="L10" s="13">
        <v>16812</v>
      </c>
    </row>
    <row r="11" spans="1:31" ht="15" customHeight="1">
      <c r="A11" s="5">
        <v>10</v>
      </c>
      <c r="B11" s="5" t="s">
        <v>128</v>
      </c>
      <c r="C11" s="6" t="s">
        <v>69</v>
      </c>
      <c r="D11" s="6" t="s">
        <v>10</v>
      </c>
      <c r="E11" s="6" t="s">
        <v>129</v>
      </c>
      <c r="F11" s="6">
        <v>1</v>
      </c>
      <c r="G11" s="7">
        <v>125</v>
      </c>
      <c r="H11" s="14">
        <f t="shared" si="0"/>
        <v>125</v>
      </c>
      <c r="I11" s="14" t="str">
        <f t="shared" si="1"/>
        <v>Mar</v>
      </c>
      <c r="K11" s="12" t="s">
        <v>319</v>
      </c>
      <c r="L11" s="13">
        <v>26282</v>
      </c>
    </row>
    <row r="12" spans="1:31" ht="15" customHeight="1">
      <c r="A12" s="2">
        <v>11</v>
      </c>
      <c r="B12" s="2" t="s">
        <v>130</v>
      </c>
      <c r="C12" s="3" t="s">
        <v>23</v>
      </c>
      <c r="D12" s="3" t="s">
        <v>11</v>
      </c>
      <c r="E12" s="3" t="s">
        <v>131</v>
      </c>
      <c r="F12" s="3">
        <v>1</v>
      </c>
      <c r="G12" s="4">
        <v>449</v>
      </c>
      <c r="H12" s="4">
        <f t="shared" si="0"/>
        <v>449</v>
      </c>
      <c r="I12" s="4" t="str">
        <f t="shared" si="1"/>
        <v>Mar</v>
      </c>
      <c r="K12" s="12" t="s">
        <v>310</v>
      </c>
      <c r="L12" s="13">
        <v>54200</v>
      </c>
    </row>
    <row r="13" spans="1:31" ht="15" customHeight="1">
      <c r="A13" s="5">
        <v>12</v>
      </c>
      <c r="B13" s="5" t="s">
        <v>130</v>
      </c>
      <c r="C13" s="6" t="s">
        <v>32</v>
      </c>
      <c r="D13" s="6" t="s">
        <v>11</v>
      </c>
      <c r="E13" s="6" t="s">
        <v>131</v>
      </c>
      <c r="F13" s="6">
        <v>1</v>
      </c>
      <c r="G13" s="7">
        <v>299</v>
      </c>
      <c r="H13" s="14">
        <f t="shared" si="0"/>
        <v>299</v>
      </c>
      <c r="I13" s="14" t="str">
        <f t="shared" si="1"/>
        <v>Mar</v>
      </c>
    </row>
    <row r="14" spans="1:31" ht="15" customHeight="1">
      <c r="A14" s="2">
        <v>13</v>
      </c>
      <c r="B14" s="2" t="s">
        <v>130</v>
      </c>
      <c r="C14" s="3" t="s">
        <v>42</v>
      </c>
      <c r="D14" s="3" t="s">
        <v>10</v>
      </c>
      <c r="E14" s="3" t="s">
        <v>131</v>
      </c>
      <c r="F14" s="3">
        <v>1</v>
      </c>
      <c r="G14" s="4">
        <v>175</v>
      </c>
      <c r="H14" s="4">
        <f t="shared" si="0"/>
        <v>175</v>
      </c>
      <c r="I14" s="4" t="str">
        <f t="shared" si="1"/>
        <v>Mar</v>
      </c>
      <c r="K14" s="11" t="s">
        <v>2</v>
      </c>
      <c r="L14" t="s">
        <v>320</v>
      </c>
    </row>
    <row r="15" spans="1:31" ht="15" customHeight="1">
      <c r="A15" s="5">
        <v>14</v>
      </c>
      <c r="B15" s="5" t="s">
        <v>132</v>
      </c>
      <c r="C15" s="6" t="s">
        <v>55</v>
      </c>
      <c r="D15" s="6" t="s">
        <v>10</v>
      </c>
      <c r="E15" s="6" t="s">
        <v>133</v>
      </c>
      <c r="F15" s="6">
        <v>1</v>
      </c>
      <c r="G15" s="7">
        <v>99</v>
      </c>
      <c r="H15" s="14">
        <f t="shared" si="0"/>
        <v>99</v>
      </c>
      <c r="I15" s="14" t="str">
        <f t="shared" si="1"/>
        <v>Mar</v>
      </c>
      <c r="K15" s="12" t="s">
        <v>11</v>
      </c>
      <c r="L15" s="13">
        <v>21850</v>
      </c>
      <c r="W15" s="27"/>
      <c r="X15" s="29"/>
      <c r="Y15" s="29"/>
      <c r="Z15" s="29"/>
      <c r="AA15" s="29"/>
      <c r="AB15" s="29"/>
      <c r="AC15" s="29"/>
    </row>
    <row r="16" spans="1:31" ht="15" customHeight="1">
      <c r="A16" s="2">
        <v>15</v>
      </c>
      <c r="B16" s="2" t="s">
        <v>132</v>
      </c>
      <c r="C16" s="3" t="s">
        <v>56</v>
      </c>
      <c r="D16" s="3" t="s">
        <v>11</v>
      </c>
      <c r="E16" s="3" t="s">
        <v>133</v>
      </c>
      <c r="F16" s="3">
        <v>1</v>
      </c>
      <c r="G16" s="4">
        <v>249</v>
      </c>
      <c r="H16" s="4">
        <f t="shared" si="0"/>
        <v>249</v>
      </c>
      <c r="I16" s="4" t="str">
        <f t="shared" si="1"/>
        <v>Mar</v>
      </c>
      <c r="K16" s="12" t="s">
        <v>10</v>
      </c>
      <c r="L16" s="13">
        <v>20343</v>
      </c>
      <c r="W16" s="30"/>
      <c r="X16" s="44"/>
      <c r="Y16" s="44"/>
      <c r="Z16" s="44"/>
      <c r="AA16" s="48"/>
      <c r="AB16" s="48"/>
      <c r="AC16" s="51"/>
    </row>
    <row r="17" spans="1:30" ht="15" customHeight="1">
      <c r="A17" s="5">
        <v>16</v>
      </c>
      <c r="B17" s="5" t="s">
        <v>132</v>
      </c>
      <c r="C17" s="6" t="s">
        <v>40</v>
      </c>
      <c r="D17" s="6" t="s">
        <v>10</v>
      </c>
      <c r="E17" s="6" t="s">
        <v>133</v>
      </c>
      <c r="F17" s="6">
        <v>1</v>
      </c>
      <c r="G17" s="7">
        <v>299</v>
      </c>
      <c r="H17" s="14">
        <f t="shared" si="0"/>
        <v>299</v>
      </c>
      <c r="I17" s="14" t="str">
        <f t="shared" si="1"/>
        <v>Mar</v>
      </c>
      <c r="K17" s="12" t="s">
        <v>19</v>
      </c>
      <c r="L17" s="13">
        <v>4214</v>
      </c>
      <c r="W17" s="30"/>
      <c r="X17" s="28"/>
      <c r="Y17" s="28"/>
      <c r="Z17" s="28"/>
      <c r="AA17" s="49"/>
      <c r="AB17" s="49"/>
      <c r="AC17" s="49"/>
    </row>
    <row r="18" spans="1:30" ht="15" customHeight="1">
      <c r="A18" s="2">
        <v>17</v>
      </c>
      <c r="B18" s="2" t="s">
        <v>134</v>
      </c>
      <c r="C18" s="3" t="s">
        <v>15</v>
      </c>
      <c r="D18" s="3" t="s">
        <v>11</v>
      </c>
      <c r="E18" s="3" t="s">
        <v>135</v>
      </c>
      <c r="F18" s="3">
        <v>1</v>
      </c>
      <c r="G18" s="4">
        <v>349</v>
      </c>
      <c r="H18" s="4">
        <f t="shared" si="0"/>
        <v>349</v>
      </c>
      <c r="I18" s="4" t="str">
        <f t="shared" si="1"/>
        <v>Mar</v>
      </c>
      <c r="K18" s="12" t="s">
        <v>16</v>
      </c>
      <c r="L18" s="13">
        <v>7793</v>
      </c>
      <c r="W18" s="30"/>
      <c r="X18" s="28"/>
      <c r="Y18" s="28"/>
      <c r="Z18" s="28"/>
      <c r="AA18" s="49"/>
      <c r="AB18" s="49"/>
      <c r="AC18" s="49"/>
    </row>
    <row r="19" spans="1:30" ht="15" customHeight="1">
      <c r="A19" s="5">
        <v>18</v>
      </c>
      <c r="B19" s="5" t="s">
        <v>137</v>
      </c>
      <c r="C19" s="6" t="s">
        <v>62</v>
      </c>
      <c r="D19" s="6" t="s">
        <v>19</v>
      </c>
      <c r="E19" s="6" t="s">
        <v>138</v>
      </c>
      <c r="F19" s="6">
        <v>1</v>
      </c>
      <c r="G19" s="7">
        <v>175</v>
      </c>
      <c r="H19" s="14">
        <f t="shared" si="0"/>
        <v>175</v>
      </c>
      <c r="I19" s="14" t="str">
        <f t="shared" si="1"/>
        <v>Mar</v>
      </c>
      <c r="K19" s="12" t="s">
        <v>310</v>
      </c>
      <c r="L19" s="13">
        <v>54200</v>
      </c>
      <c r="W19" s="30"/>
      <c r="X19" s="28"/>
      <c r="Y19" s="28"/>
      <c r="Z19" s="28"/>
      <c r="AA19" s="49"/>
      <c r="AB19" s="49"/>
      <c r="AC19" s="49"/>
    </row>
    <row r="20" spans="1:30" ht="15" customHeight="1">
      <c r="A20" s="2">
        <v>19</v>
      </c>
      <c r="B20" s="2" t="s">
        <v>137</v>
      </c>
      <c r="C20" s="3" t="s">
        <v>69</v>
      </c>
      <c r="D20" s="3" t="s">
        <v>10</v>
      </c>
      <c r="E20" s="3" t="s">
        <v>138</v>
      </c>
      <c r="F20" s="3">
        <v>1</v>
      </c>
      <c r="G20" s="4">
        <v>125</v>
      </c>
      <c r="H20" s="4">
        <f t="shared" si="0"/>
        <v>125</v>
      </c>
      <c r="I20" s="4" t="str">
        <f t="shared" si="1"/>
        <v>Mar</v>
      </c>
      <c r="W20" s="30"/>
      <c r="X20" s="28"/>
      <c r="Y20" s="28"/>
      <c r="Z20" s="28"/>
      <c r="AA20" s="49"/>
      <c r="AB20" s="49"/>
      <c r="AC20" s="49"/>
    </row>
    <row r="21" spans="1:30" ht="15" customHeight="1">
      <c r="A21" s="5">
        <v>20</v>
      </c>
      <c r="B21" s="5" t="s">
        <v>137</v>
      </c>
      <c r="C21" s="6" t="s">
        <v>60</v>
      </c>
      <c r="D21" s="6" t="s">
        <v>10</v>
      </c>
      <c r="E21" s="6" t="s">
        <v>138</v>
      </c>
      <c r="F21" s="6">
        <v>1</v>
      </c>
      <c r="G21" s="7">
        <v>120</v>
      </c>
      <c r="H21" s="14">
        <f t="shared" si="0"/>
        <v>120</v>
      </c>
      <c r="I21" s="14" t="str">
        <f t="shared" si="1"/>
        <v>Mar</v>
      </c>
      <c r="AC21" s="50"/>
    </row>
    <row r="22" spans="1:30" ht="15" customHeight="1">
      <c r="A22" s="2">
        <v>21</v>
      </c>
      <c r="B22" s="2" t="s">
        <v>139</v>
      </c>
      <c r="C22" s="3" t="s">
        <v>25</v>
      </c>
      <c r="D22" s="3" t="s">
        <v>11</v>
      </c>
      <c r="E22" s="3" t="s">
        <v>140</v>
      </c>
      <c r="F22" s="3">
        <v>1</v>
      </c>
      <c r="G22" s="4">
        <v>249</v>
      </c>
      <c r="H22" s="4">
        <f t="shared" si="0"/>
        <v>249</v>
      </c>
      <c r="I22" s="4" t="str">
        <f t="shared" si="1"/>
        <v>Mar</v>
      </c>
      <c r="K22" s="11" t="s">
        <v>305</v>
      </c>
      <c r="L22" t="s">
        <v>321</v>
      </c>
    </row>
    <row r="23" spans="1:30" ht="15" customHeight="1">
      <c r="A23" s="5">
        <v>22</v>
      </c>
      <c r="B23" s="5" t="s">
        <v>139</v>
      </c>
      <c r="C23" s="6" t="s">
        <v>9</v>
      </c>
      <c r="D23" s="6" t="s">
        <v>10</v>
      </c>
      <c r="E23" s="6" t="s">
        <v>140</v>
      </c>
      <c r="F23" s="6">
        <v>1</v>
      </c>
      <c r="G23" s="7">
        <v>175</v>
      </c>
      <c r="H23" s="14">
        <f t="shared" si="0"/>
        <v>175</v>
      </c>
      <c r="I23" s="14" t="str">
        <f t="shared" si="1"/>
        <v>Mar</v>
      </c>
      <c r="K23" s="12" t="s">
        <v>315</v>
      </c>
      <c r="L23">
        <v>49</v>
      </c>
      <c r="W23" s="30"/>
      <c r="AB23" s="27"/>
      <c r="AC23" s="27"/>
      <c r="AD23" s="27"/>
    </row>
    <row r="24" spans="1:30" ht="15" customHeight="1">
      <c r="A24" s="2">
        <v>23</v>
      </c>
      <c r="B24" s="2" t="s">
        <v>141</v>
      </c>
      <c r="C24" s="3" t="s">
        <v>60</v>
      </c>
      <c r="D24" s="3" t="s">
        <v>10</v>
      </c>
      <c r="E24" s="3" t="s">
        <v>142</v>
      </c>
      <c r="F24" s="3">
        <v>1</v>
      </c>
      <c r="G24" s="4">
        <v>120</v>
      </c>
      <c r="H24" s="4">
        <f t="shared" si="0"/>
        <v>120</v>
      </c>
      <c r="I24" s="4" t="str">
        <f t="shared" si="1"/>
        <v>Mar</v>
      </c>
      <c r="K24" s="12" t="s">
        <v>317</v>
      </c>
      <c r="L24">
        <v>71</v>
      </c>
      <c r="W24" s="30"/>
      <c r="AB24" s="30"/>
      <c r="AC24" s="30"/>
      <c r="AD24" s="30"/>
    </row>
    <row r="25" spans="1:30" ht="15" customHeight="1">
      <c r="A25" s="5">
        <v>24</v>
      </c>
      <c r="B25" s="5" t="s">
        <v>141</v>
      </c>
      <c r="C25" s="6" t="s">
        <v>51</v>
      </c>
      <c r="D25" s="6" t="s">
        <v>11</v>
      </c>
      <c r="E25" s="6" t="s">
        <v>142</v>
      </c>
      <c r="F25" s="6">
        <v>1</v>
      </c>
      <c r="G25" s="7">
        <v>399</v>
      </c>
      <c r="H25" s="14">
        <f t="shared" si="0"/>
        <v>399</v>
      </c>
      <c r="I25" s="14" t="str">
        <f t="shared" si="1"/>
        <v>Mar</v>
      </c>
      <c r="K25" s="12" t="s">
        <v>319</v>
      </c>
      <c r="L25">
        <v>109</v>
      </c>
      <c r="W25" s="30"/>
      <c r="AB25" s="30"/>
      <c r="AC25" s="30"/>
      <c r="AD25" s="30"/>
    </row>
    <row r="26" spans="1:30" ht="15" customHeight="1">
      <c r="A26" s="2">
        <v>25</v>
      </c>
      <c r="B26" s="2" t="s">
        <v>143</v>
      </c>
      <c r="C26" s="3" t="s">
        <v>55</v>
      </c>
      <c r="D26" s="3" t="s">
        <v>10</v>
      </c>
      <c r="E26" s="3" t="s">
        <v>144</v>
      </c>
      <c r="F26" s="3">
        <v>2</v>
      </c>
      <c r="G26" s="4">
        <v>99</v>
      </c>
      <c r="H26" s="4">
        <f t="shared" si="0"/>
        <v>198</v>
      </c>
      <c r="I26" s="4" t="str">
        <f t="shared" si="1"/>
        <v>Mar</v>
      </c>
      <c r="K26" s="12" t="s">
        <v>310</v>
      </c>
      <c r="L26">
        <v>229</v>
      </c>
      <c r="W26" s="30"/>
      <c r="AB26" s="30"/>
      <c r="AC26" s="30"/>
      <c r="AD26" s="30"/>
    </row>
    <row r="27" spans="1:30" ht="15" customHeight="1">
      <c r="A27" s="5">
        <v>26</v>
      </c>
      <c r="B27" s="5" t="s">
        <v>146</v>
      </c>
      <c r="C27" s="6" t="s">
        <v>42</v>
      </c>
      <c r="D27" s="6" t="s">
        <v>10</v>
      </c>
      <c r="E27" s="6" t="s">
        <v>147</v>
      </c>
      <c r="F27" s="6">
        <v>1</v>
      </c>
      <c r="G27" s="7">
        <v>175</v>
      </c>
      <c r="H27" s="14">
        <f t="shared" si="0"/>
        <v>175</v>
      </c>
      <c r="I27" s="14" t="str">
        <f t="shared" si="1"/>
        <v>Mar</v>
      </c>
      <c r="W27" s="30"/>
      <c r="AB27" s="30"/>
      <c r="AC27" s="30"/>
      <c r="AD27" s="30"/>
    </row>
    <row r="28" spans="1:30" ht="15" customHeight="1">
      <c r="A28" s="2">
        <v>27</v>
      </c>
      <c r="B28" s="2" t="s">
        <v>146</v>
      </c>
      <c r="C28" s="3" t="s">
        <v>71</v>
      </c>
      <c r="D28" s="3" t="s">
        <v>11</v>
      </c>
      <c r="E28" s="3" t="s">
        <v>147</v>
      </c>
      <c r="F28" s="3">
        <v>1</v>
      </c>
      <c r="G28" s="4">
        <v>249</v>
      </c>
      <c r="H28" s="4">
        <f t="shared" si="0"/>
        <v>249</v>
      </c>
      <c r="I28" s="4" t="str">
        <f t="shared" si="1"/>
        <v>Mar</v>
      </c>
    </row>
    <row r="29" spans="1:30" ht="15" customHeight="1">
      <c r="A29" s="5">
        <v>28</v>
      </c>
      <c r="B29" s="5" t="s">
        <v>146</v>
      </c>
      <c r="C29" s="6" t="s">
        <v>62</v>
      </c>
      <c r="D29" s="6" t="s">
        <v>19</v>
      </c>
      <c r="E29" s="6" t="s">
        <v>147</v>
      </c>
      <c r="F29" s="6">
        <v>1</v>
      </c>
      <c r="G29" s="7">
        <v>175</v>
      </c>
      <c r="H29" s="14">
        <f t="shared" si="0"/>
        <v>175</v>
      </c>
      <c r="I29" s="14" t="str">
        <f t="shared" si="1"/>
        <v>Mar</v>
      </c>
      <c r="K29" s="11" t="s">
        <v>305</v>
      </c>
      <c r="L29" t="s">
        <v>322</v>
      </c>
      <c r="W29" s="30"/>
    </row>
    <row r="30" spans="1:30" ht="15" customHeight="1">
      <c r="A30" s="2">
        <v>29</v>
      </c>
      <c r="B30" s="2" t="s">
        <v>148</v>
      </c>
      <c r="C30" s="3" t="s">
        <v>40</v>
      </c>
      <c r="D30" s="3" t="s">
        <v>10</v>
      </c>
      <c r="E30" s="3" t="s">
        <v>149</v>
      </c>
      <c r="F30" s="3">
        <v>1</v>
      </c>
      <c r="G30" s="4">
        <v>299</v>
      </c>
      <c r="H30" s="4">
        <f t="shared" si="0"/>
        <v>299</v>
      </c>
      <c r="I30" s="4" t="str">
        <f t="shared" si="1"/>
        <v>Mar</v>
      </c>
      <c r="K30" s="12" t="s">
        <v>317</v>
      </c>
      <c r="L30">
        <v>33</v>
      </c>
      <c r="W30" s="30"/>
    </row>
    <row r="31" spans="1:30" ht="15" customHeight="1">
      <c r="A31" s="5">
        <v>30</v>
      </c>
      <c r="B31" s="5" t="s">
        <v>148</v>
      </c>
      <c r="C31" s="6" t="s">
        <v>55</v>
      </c>
      <c r="D31" s="6" t="s">
        <v>10</v>
      </c>
      <c r="E31" s="6" t="s">
        <v>149</v>
      </c>
      <c r="F31" s="6">
        <v>1</v>
      </c>
      <c r="G31" s="7">
        <v>99</v>
      </c>
      <c r="H31" s="14">
        <f t="shared" si="0"/>
        <v>99</v>
      </c>
      <c r="I31" s="14" t="str">
        <f t="shared" si="1"/>
        <v>Mar</v>
      </c>
      <c r="K31" s="12" t="s">
        <v>315</v>
      </c>
      <c r="L31">
        <v>23</v>
      </c>
      <c r="W31" s="30"/>
    </row>
    <row r="32" spans="1:30" ht="15" customHeight="1">
      <c r="A32" s="2">
        <v>31</v>
      </c>
      <c r="B32" s="2" t="s">
        <v>150</v>
      </c>
      <c r="C32" s="3" t="s">
        <v>23</v>
      </c>
      <c r="D32" s="3" t="s">
        <v>11</v>
      </c>
      <c r="E32" s="3" t="s">
        <v>151</v>
      </c>
      <c r="F32" s="3">
        <v>1</v>
      </c>
      <c r="G32" s="4">
        <v>449</v>
      </c>
      <c r="H32" s="4">
        <f t="shared" si="0"/>
        <v>449</v>
      </c>
      <c r="I32" s="4" t="str">
        <f t="shared" si="1"/>
        <v>Mar</v>
      </c>
      <c r="K32" s="12" t="s">
        <v>319</v>
      </c>
      <c r="L32">
        <v>44</v>
      </c>
      <c r="W32" s="30"/>
    </row>
    <row r="33" spans="1:26" ht="15" customHeight="1">
      <c r="A33" s="5">
        <v>32</v>
      </c>
      <c r="B33" s="5" t="s">
        <v>152</v>
      </c>
      <c r="C33" s="6" t="s">
        <v>27</v>
      </c>
      <c r="D33" s="6" t="s">
        <v>10</v>
      </c>
      <c r="E33" s="6" t="s">
        <v>153</v>
      </c>
      <c r="F33" s="6">
        <v>2</v>
      </c>
      <c r="G33" s="7">
        <v>175</v>
      </c>
      <c r="H33" s="14">
        <f t="shared" si="0"/>
        <v>350</v>
      </c>
      <c r="I33" s="14" t="str">
        <f t="shared" si="1"/>
        <v>Mar</v>
      </c>
      <c r="K33" s="12" t="s">
        <v>310</v>
      </c>
      <c r="L33">
        <v>100</v>
      </c>
      <c r="W33" s="30"/>
    </row>
    <row r="34" spans="1:26" ht="15" customHeight="1">
      <c r="A34" s="2">
        <v>33</v>
      </c>
      <c r="B34" s="2" t="s">
        <v>152</v>
      </c>
      <c r="C34" s="3" t="s">
        <v>29</v>
      </c>
      <c r="D34" s="3" t="s">
        <v>11</v>
      </c>
      <c r="E34" s="3" t="s">
        <v>153</v>
      </c>
      <c r="F34" s="3">
        <v>1</v>
      </c>
      <c r="G34" s="4">
        <v>399</v>
      </c>
      <c r="H34" s="4">
        <f t="shared" si="0"/>
        <v>399</v>
      </c>
      <c r="I34" s="4" t="str">
        <f t="shared" si="1"/>
        <v>Mar</v>
      </c>
    </row>
    <row r="35" spans="1:26" ht="15" customHeight="1">
      <c r="A35" s="5">
        <v>34</v>
      </c>
      <c r="B35" s="5" t="s">
        <v>152</v>
      </c>
      <c r="C35" s="6" t="s">
        <v>9</v>
      </c>
      <c r="D35" s="6" t="s">
        <v>10</v>
      </c>
      <c r="E35" s="6" t="s">
        <v>153</v>
      </c>
      <c r="F35" s="6">
        <v>1</v>
      </c>
      <c r="G35" s="7">
        <v>175</v>
      </c>
      <c r="H35" s="14">
        <f t="shared" si="0"/>
        <v>175</v>
      </c>
      <c r="I35" s="14" t="str">
        <f t="shared" si="1"/>
        <v>Mar</v>
      </c>
      <c r="W35" s="30"/>
    </row>
    <row r="36" spans="1:26" ht="15" customHeight="1">
      <c r="A36" s="2">
        <v>35</v>
      </c>
      <c r="B36" s="2" t="s">
        <v>154</v>
      </c>
      <c r="C36" s="3" t="s">
        <v>15</v>
      </c>
      <c r="D36" s="3" t="s">
        <v>11</v>
      </c>
      <c r="E36" s="3" t="s">
        <v>155</v>
      </c>
      <c r="F36" s="3">
        <v>1</v>
      </c>
      <c r="G36" s="4">
        <v>349</v>
      </c>
      <c r="H36" s="4">
        <f t="shared" si="0"/>
        <v>349</v>
      </c>
      <c r="I36" s="4" t="str">
        <f t="shared" si="1"/>
        <v>Mar</v>
      </c>
      <c r="K36" s="11" t="s">
        <v>2</v>
      </c>
      <c r="L36" t="s">
        <v>321</v>
      </c>
      <c r="M36" t="s">
        <v>469</v>
      </c>
      <c r="O36" s="46" t="s">
        <v>2</v>
      </c>
      <c r="P36" t="s">
        <v>469</v>
      </c>
      <c r="W36" s="30"/>
    </row>
    <row r="37" spans="1:26" ht="15" customHeight="1">
      <c r="A37" s="5">
        <v>36</v>
      </c>
      <c r="B37" s="5" t="s">
        <v>154</v>
      </c>
      <c r="C37" s="6" t="s">
        <v>60</v>
      </c>
      <c r="D37" s="6" t="s">
        <v>10</v>
      </c>
      <c r="E37" s="6" t="s">
        <v>155</v>
      </c>
      <c r="F37" s="6">
        <v>1</v>
      </c>
      <c r="G37" s="7">
        <v>120</v>
      </c>
      <c r="H37" s="14">
        <f t="shared" si="0"/>
        <v>120</v>
      </c>
      <c r="I37" s="14" t="str">
        <f t="shared" si="1"/>
        <v>Mar</v>
      </c>
      <c r="K37" s="12" t="s">
        <v>11</v>
      </c>
      <c r="L37">
        <v>68</v>
      </c>
      <c r="M37">
        <f>68/13</f>
        <v>5.2307692307692308</v>
      </c>
      <c r="O37" s="12" t="s">
        <v>11</v>
      </c>
      <c r="P37">
        <f>68/13</f>
        <v>5.2307692307692308</v>
      </c>
      <c r="W37" s="30"/>
    </row>
    <row r="38" spans="1:26" ht="15" customHeight="1">
      <c r="A38" s="2">
        <v>37</v>
      </c>
      <c r="B38" s="2" t="s">
        <v>156</v>
      </c>
      <c r="C38" s="3" t="s">
        <v>62</v>
      </c>
      <c r="D38" s="3" t="s">
        <v>19</v>
      </c>
      <c r="E38" s="3" t="s">
        <v>157</v>
      </c>
      <c r="F38" s="3">
        <v>1</v>
      </c>
      <c r="G38" s="4">
        <v>175</v>
      </c>
      <c r="H38" s="4">
        <f t="shared" si="0"/>
        <v>175</v>
      </c>
      <c r="I38" s="4" t="str">
        <f t="shared" si="1"/>
        <v>Mar</v>
      </c>
      <c r="K38" s="12" t="s">
        <v>10</v>
      </c>
      <c r="L38">
        <v>102</v>
      </c>
      <c r="M38">
        <f>102/13</f>
        <v>7.8461538461538458</v>
      </c>
      <c r="O38" s="12" t="s">
        <v>10</v>
      </c>
      <c r="P38">
        <f>102/13</f>
        <v>7.8461538461538458</v>
      </c>
      <c r="W38" s="30"/>
    </row>
    <row r="39" spans="1:26" ht="15" customHeight="1">
      <c r="A39" s="5">
        <v>38</v>
      </c>
      <c r="B39" s="5" t="s">
        <v>158</v>
      </c>
      <c r="C39" s="6" t="s">
        <v>32</v>
      </c>
      <c r="D39" s="6" t="s">
        <v>11</v>
      </c>
      <c r="E39" s="6" t="s">
        <v>159</v>
      </c>
      <c r="F39" s="6">
        <v>1</v>
      </c>
      <c r="G39" s="7">
        <v>299</v>
      </c>
      <c r="H39" s="14">
        <f t="shared" si="0"/>
        <v>299</v>
      </c>
      <c r="I39" s="14" t="str">
        <f t="shared" si="1"/>
        <v>Mar</v>
      </c>
      <c r="K39" s="12" t="s">
        <v>19</v>
      </c>
      <c r="L39">
        <v>20</v>
      </c>
      <c r="M39">
        <f>39.13</f>
        <v>39.130000000000003</v>
      </c>
      <c r="O39" s="12" t="s">
        <v>19</v>
      </c>
      <c r="P39">
        <f>39.13</f>
        <v>39.130000000000003</v>
      </c>
      <c r="W39" s="30"/>
    </row>
    <row r="40" spans="1:26" ht="15" customHeight="1">
      <c r="A40" s="2">
        <v>39</v>
      </c>
      <c r="B40" s="2" t="s">
        <v>158</v>
      </c>
      <c r="C40" s="3" t="s">
        <v>65</v>
      </c>
      <c r="D40" s="3" t="s">
        <v>10</v>
      </c>
      <c r="E40" s="3" t="s">
        <v>159</v>
      </c>
      <c r="F40" s="3">
        <v>1</v>
      </c>
      <c r="G40" s="4">
        <v>299</v>
      </c>
      <c r="H40" s="4">
        <f t="shared" si="0"/>
        <v>299</v>
      </c>
      <c r="I40" s="4" t="str">
        <f t="shared" si="1"/>
        <v>Mar</v>
      </c>
      <c r="K40" s="12" t="s">
        <v>16</v>
      </c>
      <c r="L40">
        <v>39</v>
      </c>
      <c r="M40">
        <f>20.13</f>
        <v>20.13</v>
      </c>
      <c r="O40" s="12" t="s">
        <v>16</v>
      </c>
      <c r="P40">
        <f>20.13</f>
        <v>20.13</v>
      </c>
    </row>
    <row r="41" spans="1:26" ht="15" customHeight="1">
      <c r="A41" s="5">
        <v>40</v>
      </c>
      <c r="B41" s="5" t="s">
        <v>158</v>
      </c>
      <c r="C41" s="6" t="s">
        <v>55</v>
      </c>
      <c r="D41" s="6" t="s">
        <v>10</v>
      </c>
      <c r="E41" s="6" t="s">
        <v>159</v>
      </c>
      <c r="F41" s="6">
        <v>1</v>
      </c>
      <c r="G41" s="7">
        <v>99</v>
      </c>
      <c r="H41" s="14">
        <f t="shared" si="0"/>
        <v>99</v>
      </c>
      <c r="I41" s="14" t="str">
        <f t="shared" si="1"/>
        <v>Mar</v>
      </c>
      <c r="K41" s="12" t="s">
        <v>310</v>
      </c>
      <c r="L41">
        <v>229</v>
      </c>
      <c r="M41">
        <f>229/13</f>
        <v>17.615384615384617</v>
      </c>
    </row>
    <row r="42" spans="1:26" ht="15" customHeight="1">
      <c r="A42" s="2">
        <v>41</v>
      </c>
      <c r="B42" s="2" t="s">
        <v>160</v>
      </c>
      <c r="C42" s="3" t="s">
        <v>59</v>
      </c>
      <c r="D42" s="3" t="s">
        <v>10</v>
      </c>
      <c r="E42" s="3" t="s">
        <v>161</v>
      </c>
      <c r="F42" s="3">
        <v>1</v>
      </c>
      <c r="G42" s="4">
        <v>249</v>
      </c>
      <c r="H42" s="4">
        <f t="shared" si="0"/>
        <v>249</v>
      </c>
      <c r="I42" s="4" t="str">
        <f t="shared" si="1"/>
        <v>Mar</v>
      </c>
    </row>
    <row r="43" spans="1:26" ht="15" customHeight="1">
      <c r="A43" s="5">
        <v>42</v>
      </c>
      <c r="B43" s="5" t="s">
        <v>160</v>
      </c>
      <c r="C43" s="6" t="s">
        <v>56</v>
      </c>
      <c r="D43" s="6" t="s">
        <v>11</v>
      </c>
      <c r="E43" s="6" t="s">
        <v>161</v>
      </c>
      <c r="F43" s="6">
        <v>1</v>
      </c>
      <c r="G43" s="7">
        <v>249</v>
      </c>
      <c r="H43" s="14">
        <f t="shared" si="0"/>
        <v>249</v>
      </c>
      <c r="I43" s="14" t="str">
        <f t="shared" si="1"/>
        <v>Mar</v>
      </c>
    </row>
    <row r="44" spans="1:26" ht="15" customHeight="1">
      <c r="A44" s="2">
        <v>43</v>
      </c>
      <c r="B44" s="2" t="s">
        <v>162</v>
      </c>
      <c r="C44" s="3" t="s">
        <v>21</v>
      </c>
      <c r="D44" s="3" t="s">
        <v>16</v>
      </c>
      <c r="E44" s="3" t="s">
        <v>163</v>
      </c>
      <c r="F44" s="3">
        <v>1</v>
      </c>
      <c r="G44" s="4">
        <v>199</v>
      </c>
      <c r="H44" s="4">
        <f t="shared" si="0"/>
        <v>199</v>
      </c>
      <c r="I44" s="4" t="str">
        <f t="shared" si="1"/>
        <v>Mar</v>
      </c>
    </row>
    <row r="45" spans="1:26" ht="15" customHeight="1">
      <c r="A45" s="5">
        <v>44</v>
      </c>
      <c r="B45" s="5" t="s">
        <v>162</v>
      </c>
      <c r="C45" s="6" t="s">
        <v>42</v>
      </c>
      <c r="D45" s="6" t="s">
        <v>10</v>
      </c>
      <c r="E45" s="6" t="s">
        <v>163</v>
      </c>
      <c r="F45" s="6">
        <v>1</v>
      </c>
      <c r="G45" s="7">
        <v>175</v>
      </c>
      <c r="H45" s="14">
        <f t="shared" si="0"/>
        <v>175</v>
      </c>
      <c r="I45" s="14" t="str">
        <f t="shared" si="1"/>
        <v>Mar</v>
      </c>
      <c r="K45" s="35"/>
      <c r="L45" s="36"/>
      <c r="M45" s="37"/>
    </row>
    <row r="46" spans="1:26">
      <c r="A46" s="2">
        <v>45</v>
      </c>
      <c r="B46" s="2" t="s">
        <v>164</v>
      </c>
      <c r="C46" s="3" t="s">
        <v>37</v>
      </c>
      <c r="D46" s="3" t="s">
        <v>16</v>
      </c>
      <c r="E46" s="3" t="s">
        <v>165</v>
      </c>
      <c r="F46" s="3">
        <v>1</v>
      </c>
      <c r="G46" s="4">
        <v>249</v>
      </c>
      <c r="H46" s="4">
        <f t="shared" si="0"/>
        <v>249</v>
      </c>
      <c r="I46" s="4" t="str">
        <f t="shared" si="1"/>
        <v>Mar</v>
      </c>
      <c r="K46" s="38"/>
      <c r="L46" s="39"/>
      <c r="M46" s="40"/>
      <c r="O46" s="27"/>
      <c r="P46" s="11" t="s">
        <v>471</v>
      </c>
      <c r="Q46" s="11" t="s">
        <v>470</v>
      </c>
    </row>
    <row r="47" spans="1:26">
      <c r="A47" s="5">
        <v>46</v>
      </c>
      <c r="B47" s="5" t="s">
        <v>166</v>
      </c>
      <c r="C47" s="6" t="s">
        <v>32</v>
      </c>
      <c r="D47" s="6" t="s">
        <v>11</v>
      </c>
      <c r="E47" s="6" t="s">
        <v>167</v>
      </c>
      <c r="F47" s="6">
        <v>1</v>
      </c>
      <c r="G47" s="7">
        <v>299</v>
      </c>
      <c r="H47" s="14">
        <f t="shared" si="0"/>
        <v>299</v>
      </c>
      <c r="I47" s="14" t="str">
        <f t="shared" si="1"/>
        <v>Apr</v>
      </c>
      <c r="K47" s="38"/>
      <c r="L47" s="39"/>
      <c r="M47" s="40"/>
      <c r="O47" s="30"/>
      <c r="P47" s="11" t="s">
        <v>313</v>
      </c>
      <c r="Q47" t="s">
        <v>315</v>
      </c>
      <c r="R47" t="s">
        <v>317</v>
      </c>
      <c r="S47" t="s">
        <v>319</v>
      </c>
      <c r="T47" t="s">
        <v>310</v>
      </c>
      <c r="U47" t="s">
        <v>472</v>
      </c>
      <c r="V47" t="s">
        <v>473</v>
      </c>
      <c r="X47" s="46" t="s">
        <v>2</v>
      </c>
      <c r="Y47" t="s">
        <v>472</v>
      </c>
      <c r="Z47" t="s">
        <v>473</v>
      </c>
    </row>
    <row r="48" spans="1:26">
      <c r="A48" s="2">
        <v>47</v>
      </c>
      <c r="B48" s="2" t="s">
        <v>166</v>
      </c>
      <c r="C48" s="3" t="s">
        <v>60</v>
      </c>
      <c r="D48" s="3" t="s">
        <v>10</v>
      </c>
      <c r="E48" s="3" t="s">
        <v>167</v>
      </c>
      <c r="F48" s="3">
        <v>1</v>
      </c>
      <c r="G48" s="4">
        <v>120</v>
      </c>
      <c r="H48" s="4">
        <f t="shared" si="0"/>
        <v>120</v>
      </c>
      <c r="I48" s="4" t="str">
        <f t="shared" si="1"/>
        <v>Apr</v>
      </c>
      <c r="K48" s="38"/>
      <c r="L48" s="39"/>
      <c r="M48" s="40"/>
      <c r="O48" s="30"/>
      <c r="P48" s="12" t="s">
        <v>11</v>
      </c>
      <c r="Q48">
        <v>5035</v>
      </c>
      <c r="R48">
        <v>6631</v>
      </c>
      <c r="S48">
        <v>10184</v>
      </c>
      <c r="T48">
        <v>21850</v>
      </c>
      <c r="U48" s="47">
        <f t="shared" ref="U48:V52" si="3">((R48-Q48)/Q48)*100</f>
        <v>31.69811320754717</v>
      </c>
      <c r="V48" s="47">
        <f t="shared" si="3"/>
        <v>53.581661891117484</v>
      </c>
      <c r="X48" s="12" t="s">
        <v>11</v>
      </c>
      <c r="Y48" s="47">
        <v>31.7</v>
      </c>
      <c r="Z48" s="47">
        <v>53.58</v>
      </c>
    </row>
    <row r="49" spans="1:26">
      <c r="A49" s="5">
        <v>48</v>
      </c>
      <c r="B49" s="5" t="s">
        <v>166</v>
      </c>
      <c r="C49" s="6" t="s">
        <v>34</v>
      </c>
      <c r="D49" s="6" t="s">
        <v>16</v>
      </c>
      <c r="E49" s="6" t="s">
        <v>167</v>
      </c>
      <c r="F49" s="6">
        <v>1</v>
      </c>
      <c r="G49" s="7">
        <v>225</v>
      </c>
      <c r="H49" s="14">
        <f t="shared" si="0"/>
        <v>225</v>
      </c>
      <c r="I49" s="14" t="str">
        <f t="shared" si="1"/>
        <v>Apr</v>
      </c>
      <c r="K49" s="38"/>
      <c r="L49" s="39"/>
      <c r="M49" s="40"/>
      <c r="O49" s="30"/>
      <c r="P49" s="12" t="s">
        <v>10</v>
      </c>
      <c r="Q49">
        <v>5098</v>
      </c>
      <c r="R49">
        <v>5305</v>
      </c>
      <c r="S49">
        <v>9940</v>
      </c>
      <c r="T49">
        <v>20343</v>
      </c>
      <c r="U49" s="47">
        <f t="shared" si="3"/>
        <v>4.0604158493526876</v>
      </c>
      <c r="V49" s="47">
        <f t="shared" si="3"/>
        <v>87.370405278039584</v>
      </c>
      <c r="X49" s="12" t="s">
        <v>10</v>
      </c>
      <c r="Y49" s="47">
        <v>4.0599999999999996</v>
      </c>
      <c r="Z49">
        <v>87.37</v>
      </c>
    </row>
    <row r="50" spans="1:26">
      <c r="A50" s="2">
        <v>49</v>
      </c>
      <c r="B50" s="2" t="s">
        <v>168</v>
      </c>
      <c r="C50" s="3" t="s">
        <v>27</v>
      </c>
      <c r="D50" s="3" t="s">
        <v>10</v>
      </c>
      <c r="E50" s="3" t="s">
        <v>169</v>
      </c>
      <c r="F50" s="3">
        <v>2</v>
      </c>
      <c r="G50" s="4">
        <v>175</v>
      </c>
      <c r="H50" s="4">
        <f t="shared" si="0"/>
        <v>350</v>
      </c>
      <c r="I50" s="4" t="str">
        <f t="shared" si="1"/>
        <v>Apr</v>
      </c>
      <c r="K50" s="38"/>
      <c r="L50" s="39"/>
      <c r="M50" s="40"/>
      <c r="O50" s="30"/>
      <c r="P50" s="12" t="s">
        <v>19</v>
      </c>
      <c r="Q50">
        <v>525</v>
      </c>
      <c r="R50">
        <v>1496</v>
      </c>
      <c r="S50">
        <v>2193</v>
      </c>
      <c r="T50">
        <v>4214</v>
      </c>
      <c r="U50" s="47">
        <f t="shared" si="3"/>
        <v>184.95238095238096</v>
      </c>
      <c r="V50" s="47">
        <f t="shared" si="3"/>
        <v>46.590909090909086</v>
      </c>
      <c r="X50" s="12" t="s">
        <v>19</v>
      </c>
      <c r="Y50" s="47">
        <v>184.95</v>
      </c>
      <c r="Z50" s="47">
        <v>46.59</v>
      </c>
    </row>
    <row r="51" spans="1:26" ht="15" customHeight="1">
      <c r="A51" s="5">
        <v>50</v>
      </c>
      <c r="B51" s="5" t="s">
        <v>168</v>
      </c>
      <c r="C51" s="6" t="s">
        <v>21</v>
      </c>
      <c r="D51" s="6" t="s">
        <v>16</v>
      </c>
      <c r="E51" s="6" t="s">
        <v>169</v>
      </c>
      <c r="F51" s="6">
        <v>1</v>
      </c>
      <c r="G51" s="7">
        <v>199</v>
      </c>
      <c r="H51" s="14">
        <f t="shared" si="0"/>
        <v>199</v>
      </c>
      <c r="I51" s="14" t="str">
        <f t="shared" si="1"/>
        <v>Apr</v>
      </c>
      <c r="K51" s="38"/>
      <c r="L51" s="39"/>
      <c r="M51" s="40"/>
      <c r="P51" s="12" t="s">
        <v>16</v>
      </c>
      <c r="Q51">
        <v>448</v>
      </c>
      <c r="R51">
        <v>3380</v>
      </c>
      <c r="S51">
        <v>3965</v>
      </c>
      <c r="T51">
        <v>7793</v>
      </c>
      <c r="U51" s="47">
        <f t="shared" si="3"/>
        <v>654.46428571428567</v>
      </c>
      <c r="V51" s="47">
        <f t="shared" si="3"/>
        <v>17.307692307692307</v>
      </c>
      <c r="X51" s="12" t="s">
        <v>16</v>
      </c>
      <c r="Y51" s="47">
        <v>51.38</v>
      </c>
      <c r="Z51" s="47">
        <v>17.309999999999999</v>
      </c>
    </row>
    <row r="52" spans="1:26" ht="15" customHeight="1">
      <c r="A52" s="2">
        <v>51</v>
      </c>
      <c r="B52" s="2" t="s">
        <v>170</v>
      </c>
      <c r="C52" s="3" t="s">
        <v>45</v>
      </c>
      <c r="D52" s="3" t="s">
        <v>16</v>
      </c>
      <c r="E52" s="3" t="s">
        <v>171</v>
      </c>
      <c r="F52" s="3">
        <v>1</v>
      </c>
      <c r="G52" s="4">
        <v>279</v>
      </c>
      <c r="H52" s="4">
        <f t="shared" si="0"/>
        <v>279</v>
      </c>
      <c r="I52" s="4" t="str">
        <f t="shared" si="1"/>
        <v>Apr</v>
      </c>
      <c r="K52" s="38"/>
      <c r="L52" s="39"/>
      <c r="M52" s="40"/>
      <c r="O52" s="27"/>
      <c r="P52" s="12" t="s">
        <v>310</v>
      </c>
      <c r="Q52">
        <v>11106</v>
      </c>
      <c r="R52">
        <v>16812</v>
      </c>
      <c r="S52">
        <v>26282</v>
      </c>
      <c r="T52">
        <v>54200</v>
      </c>
      <c r="U52" s="47">
        <f t="shared" si="3"/>
        <v>51.377633711507301</v>
      </c>
      <c r="V52" s="47">
        <f t="shared" si="3"/>
        <v>56.328812752795621</v>
      </c>
    </row>
    <row r="53" spans="1:26" ht="15" customHeight="1">
      <c r="A53" s="5">
        <v>52</v>
      </c>
      <c r="B53" s="5" t="s">
        <v>172</v>
      </c>
      <c r="C53" s="6" t="s">
        <v>29</v>
      </c>
      <c r="D53" s="6" t="s">
        <v>11</v>
      </c>
      <c r="E53" s="6" t="s">
        <v>173</v>
      </c>
      <c r="F53" s="6">
        <v>1</v>
      </c>
      <c r="G53" s="7">
        <v>399</v>
      </c>
      <c r="H53" s="14">
        <f t="shared" si="0"/>
        <v>399</v>
      </c>
      <c r="I53" s="14" t="str">
        <f t="shared" si="1"/>
        <v>Apr</v>
      </c>
      <c r="K53" s="38"/>
      <c r="L53" s="39"/>
      <c r="M53" s="40"/>
      <c r="O53" s="30"/>
    </row>
    <row r="54" spans="1:26" ht="15" customHeight="1">
      <c r="A54" s="2">
        <v>53</v>
      </c>
      <c r="B54" s="2" t="s">
        <v>172</v>
      </c>
      <c r="C54" s="3" t="s">
        <v>55</v>
      </c>
      <c r="D54" s="3" t="s">
        <v>10</v>
      </c>
      <c r="E54" s="3" t="s">
        <v>173</v>
      </c>
      <c r="F54" s="3">
        <v>1</v>
      </c>
      <c r="G54" s="4">
        <v>99</v>
      </c>
      <c r="H54" s="4">
        <f t="shared" si="0"/>
        <v>99</v>
      </c>
      <c r="I54" s="4" t="str">
        <f t="shared" si="1"/>
        <v>Apr</v>
      </c>
      <c r="K54" s="38"/>
      <c r="L54" s="39"/>
      <c r="M54" s="40"/>
      <c r="O54" s="30"/>
    </row>
    <row r="55" spans="1:26" ht="15" customHeight="1">
      <c r="A55" s="5">
        <v>54</v>
      </c>
      <c r="B55" s="5" t="s">
        <v>172</v>
      </c>
      <c r="C55" s="6" t="s">
        <v>34</v>
      </c>
      <c r="D55" s="6" t="s">
        <v>16</v>
      </c>
      <c r="E55" s="6" t="s">
        <v>173</v>
      </c>
      <c r="F55" s="6">
        <v>1</v>
      </c>
      <c r="G55" s="7">
        <v>225</v>
      </c>
      <c r="H55" s="14">
        <f t="shared" si="0"/>
        <v>225</v>
      </c>
      <c r="I55" s="14" t="str">
        <f t="shared" si="1"/>
        <v>Apr</v>
      </c>
      <c r="K55" s="38"/>
      <c r="L55" s="39"/>
      <c r="M55" s="40"/>
      <c r="O55" s="30"/>
    </row>
    <row r="56" spans="1:26" ht="15" customHeight="1">
      <c r="A56" s="2">
        <v>55</v>
      </c>
      <c r="B56" s="2" t="s">
        <v>174</v>
      </c>
      <c r="C56" s="3" t="s">
        <v>40</v>
      </c>
      <c r="D56" s="3" t="s">
        <v>10</v>
      </c>
      <c r="E56" s="3" t="s">
        <v>175</v>
      </c>
      <c r="F56" s="3">
        <v>1</v>
      </c>
      <c r="G56" s="4">
        <v>299</v>
      </c>
      <c r="H56" s="4">
        <f t="shared" si="0"/>
        <v>299</v>
      </c>
      <c r="I56" s="4" t="str">
        <f t="shared" si="1"/>
        <v>Apr</v>
      </c>
      <c r="K56" s="38"/>
      <c r="L56" s="39"/>
      <c r="M56" s="40"/>
      <c r="O56" s="30"/>
    </row>
    <row r="57" spans="1:26" ht="15" customHeight="1">
      <c r="A57" s="5">
        <v>56</v>
      </c>
      <c r="B57" s="5" t="s">
        <v>174</v>
      </c>
      <c r="C57" s="6" t="s">
        <v>37</v>
      </c>
      <c r="D57" s="6" t="s">
        <v>16</v>
      </c>
      <c r="E57" s="6" t="s">
        <v>175</v>
      </c>
      <c r="F57" s="6">
        <v>1</v>
      </c>
      <c r="G57" s="7">
        <v>249</v>
      </c>
      <c r="H57" s="14">
        <f t="shared" si="0"/>
        <v>249</v>
      </c>
      <c r="I57" s="14" t="str">
        <f t="shared" si="1"/>
        <v>Apr</v>
      </c>
      <c r="K57" s="38"/>
      <c r="L57" s="39"/>
      <c r="M57" s="40"/>
    </row>
    <row r="58" spans="1:26" ht="15" customHeight="1">
      <c r="A58" s="2">
        <v>57</v>
      </c>
      <c r="B58" s="2" t="s">
        <v>176</v>
      </c>
      <c r="C58" s="3" t="s">
        <v>21</v>
      </c>
      <c r="D58" s="3" t="s">
        <v>16</v>
      </c>
      <c r="E58" s="3" t="s">
        <v>177</v>
      </c>
      <c r="F58" s="3">
        <v>2</v>
      </c>
      <c r="G58" s="4">
        <v>199</v>
      </c>
      <c r="H58" s="4">
        <f t="shared" si="0"/>
        <v>398</v>
      </c>
      <c r="I58" s="4" t="str">
        <f t="shared" si="1"/>
        <v>Apr</v>
      </c>
      <c r="K58" s="38"/>
      <c r="L58" s="39"/>
      <c r="M58" s="40"/>
    </row>
    <row r="59" spans="1:26" ht="15" customHeight="1">
      <c r="A59" s="5">
        <v>58</v>
      </c>
      <c r="B59" s="5" t="s">
        <v>178</v>
      </c>
      <c r="C59" s="6" t="s">
        <v>23</v>
      </c>
      <c r="D59" s="6" t="s">
        <v>11</v>
      </c>
      <c r="E59" s="6" t="s">
        <v>179</v>
      </c>
      <c r="F59" s="6">
        <v>1</v>
      </c>
      <c r="G59" s="7">
        <v>449</v>
      </c>
      <c r="H59" s="14">
        <f t="shared" si="0"/>
        <v>449</v>
      </c>
      <c r="I59" s="14" t="str">
        <f t="shared" si="1"/>
        <v>Apr</v>
      </c>
      <c r="K59" s="38"/>
      <c r="L59" s="39"/>
      <c r="M59" s="40"/>
    </row>
    <row r="60" spans="1:26" ht="15" customHeight="1">
      <c r="A60" s="2">
        <v>59</v>
      </c>
      <c r="B60" s="2" t="s">
        <v>178</v>
      </c>
      <c r="C60" s="3" t="s">
        <v>9</v>
      </c>
      <c r="D60" s="3" t="s">
        <v>10</v>
      </c>
      <c r="E60" s="3" t="s">
        <v>179</v>
      </c>
      <c r="F60" s="3">
        <v>1</v>
      </c>
      <c r="G60" s="4">
        <v>175</v>
      </c>
      <c r="H60" s="4">
        <f t="shared" si="0"/>
        <v>175</v>
      </c>
      <c r="I60" s="4" t="str">
        <f t="shared" si="1"/>
        <v>Apr</v>
      </c>
      <c r="K60" s="38"/>
      <c r="L60" s="39"/>
      <c r="M60" s="40"/>
      <c r="O60" s="27"/>
      <c r="P60" s="27"/>
      <c r="Q60" s="27"/>
      <c r="R60" s="27"/>
      <c r="S60" s="27"/>
      <c r="T60" s="27"/>
    </row>
    <row r="61" spans="1:26" ht="15" customHeight="1">
      <c r="A61" s="5">
        <v>60</v>
      </c>
      <c r="B61" s="5" t="s">
        <v>178</v>
      </c>
      <c r="C61" s="6" t="s">
        <v>45</v>
      </c>
      <c r="D61" s="6" t="s">
        <v>16</v>
      </c>
      <c r="E61" s="6" t="s">
        <v>179</v>
      </c>
      <c r="F61" s="6">
        <v>1</v>
      </c>
      <c r="G61" s="7">
        <v>279</v>
      </c>
      <c r="H61" s="14">
        <f t="shared" si="0"/>
        <v>279</v>
      </c>
      <c r="I61" s="14" t="str">
        <f t="shared" si="1"/>
        <v>Apr</v>
      </c>
      <c r="K61" s="38"/>
      <c r="L61" s="39"/>
      <c r="M61" s="40"/>
      <c r="O61" s="30"/>
      <c r="P61" s="30"/>
      <c r="Q61" s="30"/>
      <c r="R61" s="30"/>
      <c r="S61" s="30"/>
      <c r="T61" s="30"/>
    </row>
    <row r="62" spans="1:26" ht="15" customHeight="1">
      <c r="A62" s="2">
        <v>61</v>
      </c>
      <c r="B62" s="2" t="s">
        <v>180</v>
      </c>
      <c r="C62" s="3" t="s">
        <v>62</v>
      </c>
      <c r="D62" s="3" t="s">
        <v>19</v>
      </c>
      <c r="E62" s="3" t="s">
        <v>181</v>
      </c>
      <c r="F62" s="3">
        <v>1</v>
      </c>
      <c r="G62" s="4">
        <v>175</v>
      </c>
      <c r="H62" s="4">
        <f t="shared" si="0"/>
        <v>175</v>
      </c>
      <c r="I62" s="4" t="str">
        <f t="shared" si="1"/>
        <v>Apr</v>
      </c>
      <c r="K62" s="41"/>
      <c r="L62" s="42"/>
      <c r="M62" s="43"/>
      <c r="O62" s="30"/>
      <c r="P62" s="30"/>
      <c r="Q62" s="30"/>
      <c r="R62" s="30"/>
      <c r="S62" s="30"/>
      <c r="T62" s="30"/>
    </row>
    <row r="63" spans="1:26" ht="15" customHeight="1">
      <c r="A63" s="5">
        <v>62</v>
      </c>
      <c r="B63" s="5" t="s">
        <v>180</v>
      </c>
      <c r="C63" s="6" t="s">
        <v>34</v>
      </c>
      <c r="D63" s="6" t="s">
        <v>16</v>
      </c>
      <c r="E63" s="6" t="s">
        <v>181</v>
      </c>
      <c r="F63" s="6">
        <v>1</v>
      </c>
      <c r="G63" s="7">
        <v>225</v>
      </c>
      <c r="H63" s="14">
        <f t="shared" si="0"/>
        <v>225</v>
      </c>
      <c r="I63" s="14" t="str">
        <f t="shared" si="1"/>
        <v>Apr</v>
      </c>
      <c r="O63" s="30"/>
      <c r="P63" s="30"/>
      <c r="Q63" s="30"/>
      <c r="R63" s="30"/>
      <c r="S63" s="30"/>
      <c r="T63" s="30"/>
    </row>
    <row r="64" spans="1:26" ht="15" customHeight="1">
      <c r="A64" s="2">
        <v>63</v>
      </c>
      <c r="B64" s="2" t="s">
        <v>182</v>
      </c>
      <c r="C64" s="3" t="s">
        <v>57</v>
      </c>
      <c r="D64" s="3" t="s">
        <v>11</v>
      </c>
      <c r="E64" s="3" t="s">
        <v>183</v>
      </c>
      <c r="F64" s="3">
        <v>1</v>
      </c>
      <c r="G64" s="4">
        <v>249</v>
      </c>
      <c r="H64" s="4">
        <f t="shared" si="0"/>
        <v>249</v>
      </c>
      <c r="I64" s="4" t="str">
        <f t="shared" si="1"/>
        <v>Apr</v>
      </c>
      <c r="O64" s="30"/>
      <c r="P64" s="30"/>
      <c r="Q64" s="30"/>
      <c r="R64" s="30"/>
      <c r="S64" s="30"/>
      <c r="T64" s="30"/>
    </row>
    <row r="65" spans="1:35" ht="15" customHeight="1">
      <c r="A65" s="5">
        <v>64</v>
      </c>
      <c r="B65" s="5" t="s">
        <v>182</v>
      </c>
      <c r="C65" s="6" t="s">
        <v>15</v>
      </c>
      <c r="D65" s="6" t="s">
        <v>11</v>
      </c>
      <c r="E65" s="6" t="s">
        <v>183</v>
      </c>
      <c r="F65" s="6">
        <v>1</v>
      </c>
      <c r="G65" s="7">
        <v>349</v>
      </c>
      <c r="H65" s="14">
        <f t="shared" si="0"/>
        <v>349</v>
      </c>
      <c r="I65" s="14" t="str">
        <f t="shared" si="1"/>
        <v>Apr</v>
      </c>
    </row>
    <row r="66" spans="1:35" ht="15" customHeight="1">
      <c r="A66" s="2">
        <v>65</v>
      </c>
      <c r="B66" s="2" t="s">
        <v>184</v>
      </c>
      <c r="C66" s="3" t="s">
        <v>83</v>
      </c>
      <c r="D66" s="3" t="s">
        <v>10</v>
      </c>
      <c r="E66" s="3" t="s">
        <v>185</v>
      </c>
      <c r="F66" s="3">
        <v>1</v>
      </c>
      <c r="G66" s="4">
        <v>350</v>
      </c>
      <c r="H66" s="4">
        <f t="shared" ref="H66:H129" si="4">F66*G66</f>
        <v>350</v>
      </c>
      <c r="I66" s="4" t="str">
        <f t="shared" ref="I66:I129" si="5">TEXT(DATE(RIGHT(E66,4),MID(E66,4,2),LEFT(E66,2)),"MMM")</f>
        <v>Apr</v>
      </c>
    </row>
    <row r="67" spans="1:35" ht="15" customHeight="1">
      <c r="A67" s="5">
        <v>66</v>
      </c>
      <c r="B67" s="5" t="s">
        <v>184</v>
      </c>
      <c r="C67" s="6" t="s">
        <v>47</v>
      </c>
      <c r="D67" s="6" t="s">
        <v>10</v>
      </c>
      <c r="E67" s="6" t="s">
        <v>185</v>
      </c>
      <c r="F67" s="6">
        <v>1</v>
      </c>
      <c r="G67" s="7">
        <v>275</v>
      </c>
      <c r="H67" s="14">
        <f t="shared" si="4"/>
        <v>275</v>
      </c>
      <c r="I67" s="14" t="str">
        <f t="shared" si="5"/>
        <v>Apr</v>
      </c>
    </row>
    <row r="68" spans="1:35" ht="15" customHeight="1">
      <c r="A68" s="2">
        <v>67</v>
      </c>
      <c r="B68" s="2" t="s">
        <v>184</v>
      </c>
      <c r="C68" s="3" t="s">
        <v>41</v>
      </c>
      <c r="D68" s="3" t="s">
        <v>10</v>
      </c>
      <c r="E68" s="3" t="s">
        <v>185</v>
      </c>
      <c r="F68" s="3">
        <v>1</v>
      </c>
      <c r="G68" s="4">
        <v>299</v>
      </c>
      <c r="H68" s="4">
        <f t="shared" si="4"/>
        <v>299</v>
      </c>
      <c r="I68" s="4" t="str">
        <f t="shared" si="5"/>
        <v>Apr</v>
      </c>
    </row>
    <row r="69" spans="1:35" ht="15" customHeight="1">
      <c r="A69" s="5">
        <v>68</v>
      </c>
      <c r="B69" s="5" t="s">
        <v>186</v>
      </c>
      <c r="C69" s="6" t="s">
        <v>56</v>
      </c>
      <c r="D69" s="6" t="s">
        <v>11</v>
      </c>
      <c r="E69" s="6" t="s">
        <v>187</v>
      </c>
      <c r="F69" s="6">
        <v>1</v>
      </c>
      <c r="G69" s="7">
        <v>249</v>
      </c>
      <c r="H69" s="14">
        <f t="shared" si="4"/>
        <v>249</v>
      </c>
      <c r="I69" s="14" t="str">
        <f t="shared" si="5"/>
        <v>Apr</v>
      </c>
    </row>
    <row r="70" spans="1:35" ht="15" customHeight="1">
      <c r="A70" s="2">
        <v>69</v>
      </c>
      <c r="B70" s="2" t="s">
        <v>186</v>
      </c>
      <c r="C70" s="3" t="s">
        <v>18</v>
      </c>
      <c r="D70" s="3" t="s">
        <v>11</v>
      </c>
      <c r="E70" s="3" t="s">
        <v>187</v>
      </c>
      <c r="F70" s="3">
        <v>1</v>
      </c>
      <c r="G70" s="4">
        <v>349</v>
      </c>
      <c r="H70" s="4">
        <f t="shared" si="4"/>
        <v>349</v>
      </c>
      <c r="I70" s="4" t="str">
        <f t="shared" si="5"/>
        <v>Apr</v>
      </c>
    </row>
    <row r="71" spans="1:35" ht="15" customHeight="1">
      <c r="A71" s="5">
        <v>70</v>
      </c>
      <c r="B71" s="5" t="s">
        <v>188</v>
      </c>
      <c r="C71" s="6" t="s">
        <v>55</v>
      </c>
      <c r="D71" s="6" t="s">
        <v>10</v>
      </c>
      <c r="E71" s="6" t="s">
        <v>189</v>
      </c>
      <c r="F71" s="6">
        <v>1</v>
      </c>
      <c r="G71" s="7">
        <v>99</v>
      </c>
      <c r="H71" s="14">
        <f t="shared" si="4"/>
        <v>99</v>
      </c>
      <c r="I71" s="14" t="str">
        <f t="shared" si="5"/>
        <v>Apr</v>
      </c>
    </row>
    <row r="72" spans="1:35" ht="15" customHeight="1">
      <c r="A72" s="2">
        <v>71</v>
      </c>
      <c r="B72" s="2" t="s">
        <v>190</v>
      </c>
      <c r="C72" s="3" t="s">
        <v>25</v>
      </c>
      <c r="D72" s="3" t="s">
        <v>11</v>
      </c>
      <c r="E72" s="3" t="s">
        <v>191</v>
      </c>
      <c r="F72" s="3">
        <v>1</v>
      </c>
      <c r="G72" s="4">
        <v>249</v>
      </c>
      <c r="H72" s="4">
        <f t="shared" si="4"/>
        <v>249</v>
      </c>
      <c r="I72" s="4" t="str">
        <f t="shared" si="5"/>
        <v>Apr</v>
      </c>
    </row>
    <row r="73" spans="1:35" ht="15" customHeight="1">
      <c r="A73" s="5">
        <v>72</v>
      </c>
      <c r="B73" s="5" t="s">
        <v>192</v>
      </c>
      <c r="C73" s="6" t="s">
        <v>58</v>
      </c>
      <c r="D73" s="6" t="s">
        <v>11</v>
      </c>
      <c r="E73" s="6" t="s">
        <v>193</v>
      </c>
      <c r="F73" s="6">
        <v>1</v>
      </c>
      <c r="G73" s="7">
        <v>249</v>
      </c>
      <c r="H73" s="14">
        <f t="shared" si="4"/>
        <v>249</v>
      </c>
      <c r="I73" s="14" t="str">
        <f t="shared" si="5"/>
        <v>Apr</v>
      </c>
    </row>
    <row r="74" spans="1:35" ht="15" customHeight="1">
      <c r="A74" s="2">
        <v>73</v>
      </c>
      <c r="B74" s="2" t="s">
        <v>192</v>
      </c>
      <c r="C74" s="3" t="s">
        <v>69</v>
      </c>
      <c r="D74" s="3" t="s">
        <v>10</v>
      </c>
      <c r="E74" s="3" t="s">
        <v>193</v>
      </c>
      <c r="F74" s="3">
        <v>1</v>
      </c>
      <c r="G74" s="4">
        <v>125</v>
      </c>
      <c r="H74" s="4">
        <f t="shared" si="4"/>
        <v>125</v>
      </c>
      <c r="I74" s="4" t="str">
        <f t="shared" si="5"/>
        <v>Apr</v>
      </c>
    </row>
    <row r="75" spans="1:35" ht="15" customHeight="1">
      <c r="A75" s="5">
        <v>74</v>
      </c>
      <c r="B75" s="5" t="s">
        <v>192</v>
      </c>
      <c r="C75" s="6" t="s">
        <v>93</v>
      </c>
      <c r="D75" s="6" t="s">
        <v>16</v>
      </c>
      <c r="E75" s="6" t="s">
        <v>193</v>
      </c>
      <c r="F75" s="6">
        <v>1</v>
      </c>
      <c r="G75" s="7">
        <v>50</v>
      </c>
      <c r="H75" s="14">
        <f t="shared" si="4"/>
        <v>50</v>
      </c>
      <c r="I75" s="14" t="str">
        <f t="shared" si="5"/>
        <v>Apr</v>
      </c>
    </row>
    <row r="76" spans="1:35" ht="15" customHeight="1">
      <c r="A76" s="2">
        <v>75</v>
      </c>
      <c r="B76" s="2" t="s">
        <v>194</v>
      </c>
      <c r="C76" s="3" t="s">
        <v>79</v>
      </c>
      <c r="D76" s="3" t="s">
        <v>19</v>
      </c>
      <c r="E76" s="3" t="s">
        <v>195</v>
      </c>
      <c r="F76" s="3">
        <v>1</v>
      </c>
      <c r="G76" s="4">
        <v>199</v>
      </c>
      <c r="H76" s="4">
        <f t="shared" si="4"/>
        <v>199</v>
      </c>
      <c r="I76" s="4" t="str">
        <f t="shared" si="5"/>
        <v>Apr</v>
      </c>
    </row>
    <row r="77" spans="1:35" ht="15" customHeight="1">
      <c r="A77" s="5">
        <v>76</v>
      </c>
      <c r="B77" s="5" t="s">
        <v>196</v>
      </c>
      <c r="C77" s="6" t="s">
        <v>15</v>
      </c>
      <c r="D77" s="6" t="s">
        <v>11</v>
      </c>
      <c r="E77" s="6" t="s">
        <v>197</v>
      </c>
      <c r="F77" s="6">
        <v>1</v>
      </c>
      <c r="G77" s="7">
        <v>349</v>
      </c>
      <c r="H77" s="14">
        <f t="shared" si="4"/>
        <v>349</v>
      </c>
      <c r="I77" s="14" t="str">
        <f t="shared" si="5"/>
        <v>Apr</v>
      </c>
      <c r="AH77" s="7"/>
      <c r="AI77" s="6"/>
    </row>
    <row r="78" spans="1:35" ht="15" customHeight="1">
      <c r="A78" s="2">
        <v>77</v>
      </c>
      <c r="B78" s="2" t="s">
        <v>198</v>
      </c>
      <c r="C78" s="3" t="s">
        <v>38</v>
      </c>
      <c r="D78" s="3" t="s">
        <v>11</v>
      </c>
      <c r="E78" s="3" t="s">
        <v>199</v>
      </c>
      <c r="F78" s="3">
        <v>1</v>
      </c>
      <c r="G78" s="4">
        <v>299</v>
      </c>
      <c r="H78" s="4">
        <f t="shared" si="4"/>
        <v>299</v>
      </c>
      <c r="I78" s="4" t="str">
        <f t="shared" si="5"/>
        <v>Apr</v>
      </c>
      <c r="AH78" s="4"/>
      <c r="AI78" s="3"/>
    </row>
    <row r="79" spans="1:35" ht="15" customHeight="1">
      <c r="A79" s="5">
        <v>78</v>
      </c>
      <c r="B79" s="5" t="s">
        <v>198</v>
      </c>
      <c r="C79" s="6" t="s">
        <v>48</v>
      </c>
      <c r="D79" s="6" t="s">
        <v>10</v>
      </c>
      <c r="E79" s="6" t="s">
        <v>199</v>
      </c>
      <c r="F79" s="6">
        <v>1</v>
      </c>
      <c r="G79" s="7">
        <v>275</v>
      </c>
      <c r="H79" s="14">
        <f t="shared" si="4"/>
        <v>275</v>
      </c>
      <c r="I79" s="14" t="str">
        <f t="shared" si="5"/>
        <v>Apr</v>
      </c>
      <c r="AH79" s="7"/>
      <c r="AI79" s="6"/>
    </row>
    <row r="80" spans="1:35" ht="15" customHeight="1">
      <c r="A80" s="2">
        <v>79</v>
      </c>
      <c r="B80" s="2" t="s">
        <v>198</v>
      </c>
      <c r="C80" s="3" t="s">
        <v>77</v>
      </c>
      <c r="D80" s="3" t="s">
        <v>11</v>
      </c>
      <c r="E80" s="3" t="s">
        <v>199</v>
      </c>
      <c r="F80" s="3">
        <v>1</v>
      </c>
      <c r="G80" s="4">
        <v>199</v>
      </c>
      <c r="H80" s="4">
        <f t="shared" si="4"/>
        <v>199</v>
      </c>
      <c r="I80" s="4" t="str">
        <f t="shared" si="5"/>
        <v>Apr</v>
      </c>
      <c r="AH80" s="4"/>
      <c r="AI80" s="3"/>
    </row>
    <row r="81" spans="1:35" ht="15" customHeight="1">
      <c r="A81" s="5">
        <v>80</v>
      </c>
      <c r="B81" s="5" t="s">
        <v>200</v>
      </c>
      <c r="C81" s="6" t="s">
        <v>41</v>
      </c>
      <c r="D81" s="6" t="s">
        <v>10</v>
      </c>
      <c r="E81" s="6" t="s">
        <v>201</v>
      </c>
      <c r="F81" s="6">
        <v>1</v>
      </c>
      <c r="G81" s="7">
        <v>299</v>
      </c>
      <c r="H81" s="14">
        <f t="shared" si="4"/>
        <v>299</v>
      </c>
      <c r="I81" s="14" t="str">
        <f t="shared" si="5"/>
        <v>Apr</v>
      </c>
      <c r="AH81" s="7"/>
      <c r="AI81" s="6"/>
    </row>
    <row r="82" spans="1:35" ht="15" customHeight="1">
      <c r="A82" s="2">
        <v>81</v>
      </c>
      <c r="B82" s="2" t="s">
        <v>200</v>
      </c>
      <c r="C82" s="3" t="s">
        <v>52</v>
      </c>
      <c r="D82" s="3" t="s">
        <v>10</v>
      </c>
      <c r="E82" s="3" t="s">
        <v>201</v>
      </c>
      <c r="F82" s="3">
        <v>1</v>
      </c>
      <c r="G82" s="4">
        <v>199</v>
      </c>
      <c r="H82" s="4">
        <f t="shared" si="4"/>
        <v>199</v>
      </c>
      <c r="I82" s="4" t="str">
        <f t="shared" si="5"/>
        <v>Apr</v>
      </c>
      <c r="AH82" s="4"/>
      <c r="AI82" s="3"/>
    </row>
    <row r="83" spans="1:35" ht="15" customHeight="1">
      <c r="A83" s="5">
        <v>82</v>
      </c>
      <c r="B83" s="5" t="s">
        <v>200</v>
      </c>
      <c r="C83" s="6" t="s">
        <v>54</v>
      </c>
      <c r="D83" s="6" t="s">
        <v>19</v>
      </c>
      <c r="E83" s="6" t="s">
        <v>201</v>
      </c>
      <c r="F83" s="6">
        <v>1</v>
      </c>
      <c r="G83" s="7">
        <v>199</v>
      </c>
      <c r="H83" s="14">
        <f t="shared" si="4"/>
        <v>199</v>
      </c>
      <c r="I83" s="14" t="str">
        <f t="shared" si="5"/>
        <v>Apr</v>
      </c>
      <c r="AH83" s="7"/>
      <c r="AI83" s="6"/>
    </row>
    <row r="84" spans="1:35" ht="15" customHeight="1">
      <c r="A84" s="2">
        <v>83</v>
      </c>
      <c r="B84" s="2" t="s">
        <v>202</v>
      </c>
      <c r="C84" s="3" t="s">
        <v>18</v>
      </c>
      <c r="D84" s="3" t="s">
        <v>11</v>
      </c>
      <c r="E84" s="3" t="s">
        <v>203</v>
      </c>
      <c r="F84" s="3">
        <v>1</v>
      </c>
      <c r="G84" s="4">
        <v>349</v>
      </c>
      <c r="H84" s="4">
        <f t="shared" si="4"/>
        <v>349</v>
      </c>
      <c r="I84" s="4" t="str">
        <f t="shared" si="5"/>
        <v>Apr</v>
      </c>
      <c r="AH84" s="4"/>
      <c r="AI84" s="3"/>
    </row>
    <row r="85" spans="1:35" ht="15" customHeight="1">
      <c r="A85" s="5">
        <v>84</v>
      </c>
      <c r="B85" s="5" t="s">
        <v>202</v>
      </c>
      <c r="C85" s="6" t="s">
        <v>21</v>
      </c>
      <c r="D85" s="6" t="s">
        <v>16</v>
      </c>
      <c r="E85" s="6" t="s">
        <v>203</v>
      </c>
      <c r="F85" s="6">
        <v>1</v>
      </c>
      <c r="G85" s="7">
        <v>199</v>
      </c>
      <c r="H85" s="14">
        <f t="shared" si="4"/>
        <v>199</v>
      </c>
      <c r="I85" s="14" t="str">
        <f t="shared" si="5"/>
        <v>Apr</v>
      </c>
      <c r="AH85" s="7"/>
      <c r="AI85" s="6"/>
    </row>
    <row r="86" spans="1:35" ht="15" customHeight="1">
      <c r="A86" s="2">
        <v>85</v>
      </c>
      <c r="B86" s="2" t="s">
        <v>204</v>
      </c>
      <c r="C86" s="3" t="s">
        <v>48</v>
      </c>
      <c r="D86" s="3" t="s">
        <v>10</v>
      </c>
      <c r="E86" s="3" t="s">
        <v>205</v>
      </c>
      <c r="F86" s="3">
        <v>2</v>
      </c>
      <c r="G86" s="4">
        <v>275</v>
      </c>
      <c r="H86" s="4">
        <f t="shared" si="4"/>
        <v>550</v>
      </c>
      <c r="I86" s="4" t="str">
        <f t="shared" si="5"/>
        <v>Apr</v>
      </c>
      <c r="AH86" s="4"/>
      <c r="AI86" s="3"/>
    </row>
    <row r="87" spans="1:35" ht="15" customHeight="1">
      <c r="A87" s="5">
        <v>86</v>
      </c>
      <c r="B87" s="5" t="s">
        <v>206</v>
      </c>
      <c r="C87" s="6" t="s">
        <v>58</v>
      </c>
      <c r="D87" s="6" t="s">
        <v>11</v>
      </c>
      <c r="E87" s="6" t="s">
        <v>207</v>
      </c>
      <c r="F87" s="6">
        <v>1</v>
      </c>
      <c r="G87" s="7">
        <v>249</v>
      </c>
      <c r="H87" s="14">
        <f t="shared" si="4"/>
        <v>249</v>
      </c>
      <c r="I87" s="14" t="str">
        <f t="shared" si="5"/>
        <v>Apr</v>
      </c>
      <c r="AH87" s="7"/>
      <c r="AI87" s="6"/>
    </row>
    <row r="88" spans="1:35" ht="15" customHeight="1">
      <c r="A88" s="2">
        <v>87</v>
      </c>
      <c r="B88" s="2" t="s">
        <v>206</v>
      </c>
      <c r="C88" s="3" t="s">
        <v>34</v>
      </c>
      <c r="D88" s="3" t="s">
        <v>16</v>
      </c>
      <c r="E88" s="3" t="s">
        <v>207</v>
      </c>
      <c r="F88" s="3">
        <v>1</v>
      </c>
      <c r="G88" s="4">
        <v>225</v>
      </c>
      <c r="H88" s="4">
        <f t="shared" si="4"/>
        <v>225</v>
      </c>
      <c r="I88" s="4" t="str">
        <f t="shared" si="5"/>
        <v>Apr</v>
      </c>
      <c r="AH88" s="4"/>
      <c r="AI88" s="3"/>
    </row>
    <row r="89" spans="1:35" ht="15" customHeight="1">
      <c r="A89" s="5">
        <v>88</v>
      </c>
      <c r="B89" s="5" t="s">
        <v>206</v>
      </c>
      <c r="C89" s="6" t="s">
        <v>60</v>
      </c>
      <c r="D89" s="6" t="s">
        <v>10</v>
      </c>
      <c r="E89" s="6" t="s">
        <v>207</v>
      </c>
      <c r="F89" s="6">
        <v>1</v>
      </c>
      <c r="G89" s="7">
        <v>120</v>
      </c>
      <c r="H89" s="14">
        <f t="shared" si="4"/>
        <v>120</v>
      </c>
      <c r="I89" s="14" t="str">
        <f t="shared" si="5"/>
        <v>Apr</v>
      </c>
      <c r="AH89" s="7"/>
      <c r="AI89" s="6"/>
    </row>
    <row r="90" spans="1:35" ht="15" customHeight="1">
      <c r="A90" s="2">
        <v>89</v>
      </c>
      <c r="B90" s="2" t="s">
        <v>208</v>
      </c>
      <c r="C90" s="3" t="s">
        <v>79</v>
      </c>
      <c r="D90" s="3" t="s">
        <v>19</v>
      </c>
      <c r="E90" s="3" t="s">
        <v>209</v>
      </c>
      <c r="F90" s="3">
        <v>1</v>
      </c>
      <c r="G90" s="4">
        <v>199</v>
      </c>
      <c r="H90" s="4">
        <f t="shared" si="4"/>
        <v>199</v>
      </c>
      <c r="I90" s="4" t="str">
        <f t="shared" si="5"/>
        <v>Apr</v>
      </c>
      <c r="AH90" s="4"/>
      <c r="AI90" s="3"/>
    </row>
    <row r="91" spans="1:35" ht="15" customHeight="1">
      <c r="A91" s="5">
        <v>90</v>
      </c>
      <c r="B91" s="5" t="s">
        <v>208</v>
      </c>
      <c r="C91" s="6" t="s">
        <v>55</v>
      </c>
      <c r="D91" s="6" t="s">
        <v>10</v>
      </c>
      <c r="E91" s="6" t="s">
        <v>209</v>
      </c>
      <c r="F91" s="6">
        <v>1</v>
      </c>
      <c r="G91" s="7">
        <v>99</v>
      </c>
      <c r="H91" s="14">
        <f t="shared" si="4"/>
        <v>99</v>
      </c>
      <c r="I91" s="14" t="str">
        <f t="shared" si="5"/>
        <v>Apr</v>
      </c>
      <c r="AH91" s="7"/>
      <c r="AI91" s="6"/>
    </row>
    <row r="92" spans="1:35" ht="15" customHeight="1">
      <c r="A92" s="2">
        <v>91</v>
      </c>
      <c r="B92" s="2" t="s">
        <v>210</v>
      </c>
      <c r="C92" s="3" t="s">
        <v>93</v>
      </c>
      <c r="D92" s="3" t="s">
        <v>16</v>
      </c>
      <c r="E92" s="3" t="s">
        <v>211</v>
      </c>
      <c r="F92" s="3">
        <v>2</v>
      </c>
      <c r="G92" s="4">
        <v>50</v>
      </c>
      <c r="H92" s="4">
        <f t="shared" si="4"/>
        <v>100</v>
      </c>
      <c r="I92" s="4" t="str">
        <f t="shared" si="5"/>
        <v>Apr</v>
      </c>
      <c r="AH92" s="4"/>
      <c r="AI92" s="3"/>
    </row>
    <row r="93" spans="1:35" ht="15" customHeight="1">
      <c r="A93" s="5">
        <v>92</v>
      </c>
      <c r="B93" s="5" t="s">
        <v>212</v>
      </c>
      <c r="C93" s="6" t="s">
        <v>77</v>
      </c>
      <c r="D93" s="6" t="s">
        <v>11</v>
      </c>
      <c r="E93" s="6" t="s">
        <v>213</v>
      </c>
      <c r="F93" s="6">
        <v>1</v>
      </c>
      <c r="G93" s="7">
        <v>199</v>
      </c>
      <c r="H93" s="14">
        <f t="shared" si="4"/>
        <v>199</v>
      </c>
      <c r="I93" s="14" t="str">
        <f t="shared" si="5"/>
        <v>Apr</v>
      </c>
      <c r="AH93" s="7"/>
      <c r="AI93" s="6"/>
    </row>
    <row r="94" spans="1:35" ht="15" customHeight="1">
      <c r="A94" s="2">
        <v>93</v>
      </c>
      <c r="B94" s="2" t="s">
        <v>212</v>
      </c>
      <c r="C94" s="3" t="s">
        <v>47</v>
      </c>
      <c r="D94" s="3" t="s">
        <v>10</v>
      </c>
      <c r="E94" s="3" t="s">
        <v>213</v>
      </c>
      <c r="F94" s="3">
        <v>1</v>
      </c>
      <c r="G94" s="4">
        <v>275</v>
      </c>
      <c r="H94" s="4">
        <f t="shared" si="4"/>
        <v>275</v>
      </c>
      <c r="I94" s="4" t="str">
        <f t="shared" si="5"/>
        <v>Apr</v>
      </c>
      <c r="AH94" s="4"/>
      <c r="AI94" s="3"/>
    </row>
    <row r="95" spans="1:35" ht="15" customHeight="1">
      <c r="A95" s="5">
        <v>94</v>
      </c>
      <c r="B95" s="5" t="s">
        <v>212</v>
      </c>
      <c r="C95" s="6" t="s">
        <v>37</v>
      </c>
      <c r="D95" s="6" t="s">
        <v>16</v>
      </c>
      <c r="E95" s="6" t="s">
        <v>213</v>
      </c>
      <c r="F95" s="6">
        <v>1</v>
      </c>
      <c r="G95" s="7">
        <v>249</v>
      </c>
      <c r="H95" s="14">
        <f t="shared" si="4"/>
        <v>249</v>
      </c>
      <c r="I95" s="14" t="str">
        <f t="shared" si="5"/>
        <v>Apr</v>
      </c>
      <c r="AH95" s="7"/>
      <c r="AI95" s="6"/>
    </row>
    <row r="96" spans="1:35" ht="15" customHeight="1">
      <c r="A96" s="2">
        <v>95</v>
      </c>
      <c r="B96" s="2" t="s">
        <v>214</v>
      </c>
      <c r="C96" s="3" t="s">
        <v>52</v>
      </c>
      <c r="D96" s="3" t="s">
        <v>10</v>
      </c>
      <c r="E96" s="3" t="s">
        <v>215</v>
      </c>
      <c r="F96" s="3">
        <v>1</v>
      </c>
      <c r="G96" s="4">
        <v>199</v>
      </c>
      <c r="H96" s="4">
        <f t="shared" si="4"/>
        <v>199</v>
      </c>
      <c r="I96" s="4" t="str">
        <f t="shared" si="5"/>
        <v>Apr</v>
      </c>
      <c r="AH96" s="4"/>
      <c r="AI96" s="3"/>
    </row>
    <row r="97" spans="1:35" ht="15" customHeight="1">
      <c r="A97" s="5">
        <v>96</v>
      </c>
      <c r="B97" s="5" t="s">
        <v>214</v>
      </c>
      <c r="C97" s="6" t="s">
        <v>57</v>
      </c>
      <c r="D97" s="6" t="s">
        <v>11</v>
      </c>
      <c r="E97" s="6" t="s">
        <v>215</v>
      </c>
      <c r="F97" s="6">
        <v>1</v>
      </c>
      <c r="G97" s="7">
        <v>249</v>
      </c>
      <c r="H97" s="14">
        <f t="shared" si="4"/>
        <v>249</v>
      </c>
      <c r="I97" s="14" t="str">
        <f t="shared" si="5"/>
        <v>Apr</v>
      </c>
      <c r="AH97" s="7"/>
      <c r="AI97" s="6"/>
    </row>
    <row r="98" spans="1:35" ht="15" customHeight="1">
      <c r="A98" s="2">
        <v>97</v>
      </c>
      <c r="B98" s="2" t="s">
        <v>216</v>
      </c>
      <c r="C98" s="3" t="s">
        <v>54</v>
      </c>
      <c r="D98" s="3" t="s">
        <v>19</v>
      </c>
      <c r="E98" s="3" t="s">
        <v>215</v>
      </c>
      <c r="F98" s="3">
        <v>1</v>
      </c>
      <c r="G98" s="4">
        <v>199</v>
      </c>
      <c r="H98" s="4">
        <f t="shared" si="4"/>
        <v>199</v>
      </c>
      <c r="I98" s="4" t="str">
        <f t="shared" si="5"/>
        <v>Apr</v>
      </c>
      <c r="AH98" s="4"/>
      <c r="AI98" s="3"/>
    </row>
    <row r="99" spans="1:35" ht="15" customHeight="1">
      <c r="A99" s="5">
        <v>98</v>
      </c>
      <c r="B99" s="5" t="s">
        <v>216</v>
      </c>
      <c r="C99" s="6" t="s">
        <v>42</v>
      </c>
      <c r="D99" s="6" t="s">
        <v>10</v>
      </c>
      <c r="E99" s="6" t="s">
        <v>215</v>
      </c>
      <c r="F99" s="6">
        <v>1</v>
      </c>
      <c r="G99" s="7">
        <v>175</v>
      </c>
      <c r="H99" s="14">
        <f t="shared" si="4"/>
        <v>175</v>
      </c>
      <c r="I99" s="14" t="str">
        <f t="shared" si="5"/>
        <v>Apr</v>
      </c>
      <c r="AH99" s="7"/>
      <c r="AI99" s="6"/>
    </row>
    <row r="100" spans="1:35" ht="15" customHeight="1">
      <c r="A100" s="2">
        <v>99</v>
      </c>
      <c r="B100" s="2" t="s">
        <v>216</v>
      </c>
      <c r="C100" s="3" t="s">
        <v>21</v>
      </c>
      <c r="D100" s="3" t="s">
        <v>16</v>
      </c>
      <c r="E100" s="3" t="s">
        <v>215</v>
      </c>
      <c r="F100" s="3">
        <v>1</v>
      </c>
      <c r="G100" s="4">
        <v>199</v>
      </c>
      <c r="H100" s="4">
        <f t="shared" si="4"/>
        <v>199</v>
      </c>
      <c r="I100" s="4" t="str">
        <f t="shared" si="5"/>
        <v>Apr</v>
      </c>
      <c r="AH100" s="4"/>
      <c r="AI100" s="3"/>
    </row>
    <row r="101" spans="1:35" ht="15" customHeight="1">
      <c r="A101" s="5">
        <v>100</v>
      </c>
      <c r="B101" s="5" t="s">
        <v>217</v>
      </c>
      <c r="C101" s="6" t="s">
        <v>38</v>
      </c>
      <c r="D101" s="6" t="s">
        <v>11</v>
      </c>
      <c r="E101" s="6" t="s">
        <v>218</v>
      </c>
      <c r="F101" s="6">
        <v>1</v>
      </c>
      <c r="G101" s="7">
        <v>299</v>
      </c>
      <c r="H101" s="14">
        <f t="shared" si="4"/>
        <v>299</v>
      </c>
      <c r="I101" s="14" t="str">
        <f t="shared" si="5"/>
        <v>Apr</v>
      </c>
      <c r="AH101" s="7"/>
      <c r="AI101" s="6"/>
    </row>
    <row r="102" spans="1:35" ht="15" customHeight="1">
      <c r="A102" s="2">
        <v>101</v>
      </c>
      <c r="B102" s="2" t="s">
        <v>219</v>
      </c>
      <c r="C102" s="3" t="s">
        <v>41</v>
      </c>
      <c r="D102" s="3" t="s">
        <v>10</v>
      </c>
      <c r="E102" s="3" t="s">
        <v>218</v>
      </c>
      <c r="F102" s="3">
        <v>1</v>
      </c>
      <c r="G102" s="4">
        <v>299</v>
      </c>
      <c r="H102" s="4">
        <f t="shared" si="4"/>
        <v>299</v>
      </c>
      <c r="I102" s="4" t="str">
        <f t="shared" si="5"/>
        <v>Apr</v>
      </c>
      <c r="AH102" s="4"/>
      <c r="AI102" s="3"/>
    </row>
    <row r="103" spans="1:35" ht="15" customHeight="1">
      <c r="A103" s="5">
        <v>102</v>
      </c>
      <c r="B103" s="5" t="s">
        <v>219</v>
      </c>
      <c r="C103" s="6" t="s">
        <v>45</v>
      </c>
      <c r="D103" s="6" t="s">
        <v>16</v>
      </c>
      <c r="E103" s="6" t="s">
        <v>218</v>
      </c>
      <c r="F103" s="6">
        <v>1</v>
      </c>
      <c r="G103" s="7">
        <v>279</v>
      </c>
      <c r="H103" s="14">
        <f t="shared" si="4"/>
        <v>279</v>
      </c>
      <c r="I103" s="14" t="str">
        <f t="shared" si="5"/>
        <v>Apr</v>
      </c>
      <c r="AH103" s="7"/>
      <c r="AI103" s="6"/>
    </row>
    <row r="104" spans="1:35" ht="15" customHeight="1">
      <c r="A104" s="2">
        <v>103</v>
      </c>
      <c r="B104" s="2" t="s">
        <v>220</v>
      </c>
      <c r="C104" s="3" t="s">
        <v>50</v>
      </c>
      <c r="D104" s="3" t="s">
        <v>19</v>
      </c>
      <c r="E104" s="3" t="s">
        <v>221</v>
      </c>
      <c r="F104" s="3">
        <v>1</v>
      </c>
      <c r="G104" s="4">
        <v>275</v>
      </c>
      <c r="H104" s="4">
        <f t="shared" si="4"/>
        <v>275</v>
      </c>
      <c r="I104" s="4" t="str">
        <f t="shared" si="5"/>
        <v>Apr</v>
      </c>
      <c r="AH104" s="4"/>
      <c r="AI104" s="3"/>
    </row>
    <row r="105" spans="1:35" ht="15" customHeight="1">
      <c r="A105" s="5">
        <v>104</v>
      </c>
      <c r="B105" s="5" t="s">
        <v>220</v>
      </c>
      <c r="C105" s="6" t="s">
        <v>81</v>
      </c>
      <c r="D105" s="6" t="s">
        <v>10</v>
      </c>
      <c r="E105" s="6" t="s">
        <v>221</v>
      </c>
      <c r="F105" s="6">
        <v>1</v>
      </c>
      <c r="G105" s="7">
        <v>125</v>
      </c>
      <c r="H105" s="14">
        <f t="shared" si="4"/>
        <v>125</v>
      </c>
      <c r="I105" s="14" t="str">
        <f t="shared" si="5"/>
        <v>Apr</v>
      </c>
      <c r="AH105" s="7"/>
      <c r="AI105" s="6"/>
    </row>
    <row r="106" spans="1:35" ht="15" customHeight="1">
      <c r="A106" s="2">
        <v>105</v>
      </c>
      <c r="B106" s="2" t="s">
        <v>222</v>
      </c>
      <c r="C106" s="3" t="s">
        <v>70</v>
      </c>
      <c r="D106" s="3" t="s">
        <v>19</v>
      </c>
      <c r="E106" s="3" t="s">
        <v>221</v>
      </c>
      <c r="F106" s="3">
        <v>1</v>
      </c>
      <c r="G106" s="4">
        <v>250</v>
      </c>
      <c r="H106" s="4">
        <f t="shared" si="4"/>
        <v>250</v>
      </c>
      <c r="I106" s="4" t="str">
        <f t="shared" si="5"/>
        <v>Apr</v>
      </c>
      <c r="AH106" s="4"/>
      <c r="AI106" s="3"/>
    </row>
    <row r="107" spans="1:35" ht="15" customHeight="1">
      <c r="A107" s="5">
        <v>106</v>
      </c>
      <c r="B107" s="5" t="s">
        <v>223</v>
      </c>
      <c r="C107" s="6" t="s">
        <v>36</v>
      </c>
      <c r="D107" s="6" t="s">
        <v>11</v>
      </c>
      <c r="E107" s="6" t="s">
        <v>224</v>
      </c>
      <c r="F107" s="6">
        <v>1</v>
      </c>
      <c r="G107" s="7">
        <v>349</v>
      </c>
      <c r="H107" s="14">
        <f t="shared" si="4"/>
        <v>349</v>
      </c>
      <c r="I107" s="14" t="str">
        <f t="shared" si="5"/>
        <v>Apr</v>
      </c>
      <c r="AH107" s="7"/>
      <c r="AI107" s="6"/>
    </row>
    <row r="108" spans="1:35" ht="15" customHeight="1">
      <c r="A108" s="2">
        <v>107</v>
      </c>
      <c r="B108" s="2" t="s">
        <v>225</v>
      </c>
      <c r="C108" s="3" t="s">
        <v>35</v>
      </c>
      <c r="D108" s="3" t="s">
        <v>11</v>
      </c>
      <c r="E108" s="3" t="s">
        <v>226</v>
      </c>
      <c r="F108" s="3">
        <v>1</v>
      </c>
      <c r="G108" s="4">
        <v>550</v>
      </c>
      <c r="H108" s="4">
        <f t="shared" si="4"/>
        <v>550</v>
      </c>
      <c r="I108" s="4" t="str">
        <f t="shared" si="5"/>
        <v>Apr</v>
      </c>
      <c r="AH108" s="4"/>
      <c r="AI108" s="3"/>
    </row>
    <row r="109" spans="1:35" ht="15" customHeight="1">
      <c r="A109" s="5">
        <v>108</v>
      </c>
      <c r="B109" s="5" t="s">
        <v>225</v>
      </c>
      <c r="C109" s="6" t="s">
        <v>61</v>
      </c>
      <c r="D109" s="6" t="s">
        <v>11</v>
      </c>
      <c r="E109" s="6" t="s">
        <v>226</v>
      </c>
      <c r="F109" s="6">
        <v>1</v>
      </c>
      <c r="G109" s="7">
        <v>350</v>
      </c>
      <c r="H109" s="14">
        <f t="shared" si="4"/>
        <v>350</v>
      </c>
      <c r="I109" s="14" t="str">
        <f t="shared" si="5"/>
        <v>Apr</v>
      </c>
      <c r="AH109" s="7"/>
      <c r="AI109" s="6"/>
    </row>
    <row r="110" spans="1:35" ht="15" customHeight="1">
      <c r="A110" s="2">
        <v>109</v>
      </c>
      <c r="B110" s="2" t="s">
        <v>225</v>
      </c>
      <c r="C110" s="3" t="s">
        <v>84</v>
      </c>
      <c r="D110" s="3" t="s">
        <v>10</v>
      </c>
      <c r="E110" s="3" t="s">
        <v>226</v>
      </c>
      <c r="F110" s="3">
        <v>1</v>
      </c>
      <c r="G110" s="4">
        <v>175</v>
      </c>
      <c r="H110" s="4">
        <f t="shared" si="4"/>
        <v>175</v>
      </c>
      <c r="I110" s="4" t="str">
        <f t="shared" si="5"/>
        <v>Apr</v>
      </c>
      <c r="AH110" s="4"/>
      <c r="AI110" s="3"/>
    </row>
    <row r="111" spans="1:35" ht="15" customHeight="1">
      <c r="A111" s="5">
        <v>110</v>
      </c>
      <c r="B111" s="5" t="s">
        <v>227</v>
      </c>
      <c r="C111" s="6" t="s">
        <v>63</v>
      </c>
      <c r="D111" s="6" t="s">
        <v>11</v>
      </c>
      <c r="E111" s="6" t="s">
        <v>228</v>
      </c>
      <c r="F111" s="6">
        <v>1</v>
      </c>
      <c r="G111" s="7">
        <v>349</v>
      </c>
      <c r="H111" s="14">
        <f t="shared" si="4"/>
        <v>349</v>
      </c>
      <c r="I111" s="14" t="str">
        <f t="shared" si="5"/>
        <v>Apr</v>
      </c>
      <c r="AH111" s="7"/>
      <c r="AI111" s="6"/>
    </row>
    <row r="112" spans="1:35" ht="15" customHeight="1">
      <c r="A112" s="2">
        <v>111</v>
      </c>
      <c r="B112" s="2" t="s">
        <v>227</v>
      </c>
      <c r="C112" s="3" t="s">
        <v>81</v>
      </c>
      <c r="D112" s="3" t="s">
        <v>10</v>
      </c>
      <c r="E112" s="3" t="s">
        <v>228</v>
      </c>
      <c r="F112" s="3">
        <v>1</v>
      </c>
      <c r="G112" s="4">
        <v>125</v>
      </c>
      <c r="H112" s="4">
        <f t="shared" si="4"/>
        <v>125</v>
      </c>
      <c r="I112" s="4" t="str">
        <f t="shared" si="5"/>
        <v>Apr</v>
      </c>
      <c r="AH112" s="4"/>
      <c r="AI112" s="3"/>
    </row>
    <row r="113" spans="1:35" ht="15" customHeight="1">
      <c r="A113" s="5">
        <v>112</v>
      </c>
      <c r="B113" s="5" t="s">
        <v>227</v>
      </c>
      <c r="C113" s="6" t="s">
        <v>52</v>
      </c>
      <c r="D113" s="6" t="s">
        <v>10</v>
      </c>
      <c r="E113" s="6" t="s">
        <v>228</v>
      </c>
      <c r="F113" s="6">
        <v>1</v>
      </c>
      <c r="G113" s="7">
        <v>199</v>
      </c>
      <c r="H113" s="14">
        <f t="shared" si="4"/>
        <v>199</v>
      </c>
      <c r="I113" s="14" t="str">
        <f t="shared" si="5"/>
        <v>Apr</v>
      </c>
      <c r="AH113" s="7"/>
      <c r="AI113" s="6"/>
    </row>
    <row r="114" spans="1:35" ht="23.9" customHeight="1">
      <c r="A114" s="2">
        <v>113</v>
      </c>
      <c r="B114" s="2" t="s">
        <v>229</v>
      </c>
      <c r="C114" s="10" t="s">
        <v>68</v>
      </c>
      <c r="D114" s="3" t="s">
        <v>16</v>
      </c>
      <c r="E114" s="3" t="s">
        <v>230</v>
      </c>
      <c r="F114" s="3">
        <v>1</v>
      </c>
      <c r="G114" s="4">
        <v>275</v>
      </c>
      <c r="H114" s="4">
        <f t="shared" si="4"/>
        <v>275</v>
      </c>
      <c r="I114" s="4" t="str">
        <f t="shared" si="5"/>
        <v>May</v>
      </c>
      <c r="AH114" s="4"/>
      <c r="AI114" s="3"/>
    </row>
    <row r="115" spans="1:35" ht="15" customHeight="1">
      <c r="A115" s="5">
        <v>114</v>
      </c>
      <c r="B115" s="5" t="s">
        <v>229</v>
      </c>
      <c r="C115" s="9" t="s">
        <v>86</v>
      </c>
      <c r="D115" s="6" t="s">
        <v>16</v>
      </c>
      <c r="E115" s="6" t="s">
        <v>230</v>
      </c>
      <c r="F115" s="6">
        <v>1</v>
      </c>
      <c r="G115" s="7">
        <v>175</v>
      </c>
      <c r="H115" s="14">
        <f t="shared" si="4"/>
        <v>175</v>
      </c>
      <c r="I115" s="14" t="str">
        <f t="shared" si="5"/>
        <v>May</v>
      </c>
      <c r="AH115" s="7"/>
      <c r="AI115" s="6"/>
    </row>
    <row r="116" spans="1:35" ht="15" customHeight="1">
      <c r="A116" s="2">
        <v>115</v>
      </c>
      <c r="B116" s="2" t="s">
        <v>229</v>
      </c>
      <c r="C116" s="3" t="s">
        <v>92</v>
      </c>
      <c r="D116" s="3" t="s">
        <v>10</v>
      </c>
      <c r="E116" s="3" t="s">
        <v>230</v>
      </c>
      <c r="F116" s="3">
        <v>1</v>
      </c>
      <c r="G116" s="4">
        <v>99</v>
      </c>
      <c r="H116" s="4">
        <f t="shared" si="4"/>
        <v>99</v>
      </c>
      <c r="I116" s="4" t="str">
        <f t="shared" si="5"/>
        <v>May</v>
      </c>
      <c r="AH116" s="4"/>
      <c r="AI116" s="3"/>
    </row>
    <row r="117" spans="1:35" ht="15" customHeight="1">
      <c r="A117" s="5">
        <v>116</v>
      </c>
      <c r="B117" s="5" t="s">
        <v>231</v>
      </c>
      <c r="C117" s="6" t="s">
        <v>80</v>
      </c>
      <c r="D117" s="6" t="s">
        <v>19</v>
      </c>
      <c r="E117" s="6" t="s">
        <v>230</v>
      </c>
      <c r="F117" s="6">
        <v>1</v>
      </c>
      <c r="G117" s="7">
        <v>199</v>
      </c>
      <c r="H117" s="14">
        <f t="shared" si="4"/>
        <v>199</v>
      </c>
      <c r="I117" s="14" t="str">
        <f t="shared" si="5"/>
        <v>May</v>
      </c>
      <c r="AH117" s="7"/>
      <c r="AI117" s="6"/>
    </row>
    <row r="118" spans="1:35" ht="15" customHeight="1">
      <c r="A118" s="2">
        <v>117</v>
      </c>
      <c r="B118" s="2" t="s">
        <v>231</v>
      </c>
      <c r="C118" s="3" t="s">
        <v>85</v>
      </c>
      <c r="D118" s="3" t="s">
        <v>10</v>
      </c>
      <c r="E118" s="3" t="s">
        <v>230</v>
      </c>
      <c r="F118" s="3">
        <v>1</v>
      </c>
      <c r="G118" s="4">
        <v>175</v>
      </c>
      <c r="H118" s="4">
        <f t="shared" si="4"/>
        <v>175</v>
      </c>
      <c r="I118" s="4" t="str">
        <f t="shared" si="5"/>
        <v>May</v>
      </c>
      <c r="AH118" s="4"/>
      <c r="AI118" s="3"/>
    </row>
    <row r="119" spans="1:35" ht="15" customHeight="1">
      <c r="A119" s="5">
        <v>118</v>
      </c>
      <c r="B119" s="5" t="s">
        <v>232</v>
      </c>
      <c r="C119" s="6" t="s">
        <v>43</v>
      </c>
      <c r="D119" s="6" t="s">
        <v>10</v>
      </c>
      <c r="E119" s="6" t="s">
        <v>233</v>
      </c>
      <c r="F119" s="6">
        <v>2</v>
      </c>
      <c r="G119" s="7">
        <v>175</v>
      </c>
      <c r="H119" s="14">
        <f t="shared" si="4"/>
        <v>350</v>
      </c>
      <c r="I119" s="14" t="str">
        <f t="shared" si="5"/>
        <v>May</v>
      </c>
      <c r="AH119" s="7"/>
      <c r="AI119" s="6"/>
    </row>
    <row r="120" spans="1:35" ht="15" customHeight="1">
      <c r="A120" s="2">
        <v>119</v>
      </c>
      <c r="B120" s="2" t="s">
        <v>234</v>
      </c>
      <c r="C120" s="3" t="s">
        <v>9</v>
      </c>
      <c r="D120" s="3" t="s">
        <v>10</v>
      </c>
      <c r="E120" s="3" t="s">
        <v>235</v>
      </c>
      <c r="F120" s="3">
        <v>8</v>
      </c>
      <c r="G120" s="4">
        <v>175</v>
      </c>
      <c r="H120" s="4">
        <f t="shared" si="4"/>
        <v>1400</v>
      </c>
      <c r="I120" s="4" t="str">
        <f t="shared" si="5"/>
        <v>May</v>
      </c>
      <c r="AH120" s="4"/>
      <c r="AI120" s="3"/>
    </row>
    <row r="121" spans="1:35" ht="15" customHeight="1">
      <c r="A121" s="5">
        <v>120</v>
      </c>
      <c r="B121" s="5" t="s">
        <v>234</v>
      </c>
      <c r="C121" s="6" t="s">
        <v>82</v>
      </c>
      <c r="D121" s="6" t="s">
        <v>10</v>
      </c>
      <c r="E121" s="6" t="s">
        <v>235</v>
      </c>
      <c r="F121" s="6">
        <v>1</v>
      </c>
      <c r="G121" s="7">
        <v>180</v>
      </c>
      <c r="H121" s="14">
        <f t="shared" si="4"/>
        <v>180</v>
      </c>
      <c r="I121" s="14" t="str">
        <f t="shared" si="5"/>
        <v>May</v>
      </c>
      <c r="AH121" s="7"/>
      <c r="AI121" s="6"/>
    </row>
    <row r="122" spans="1:35" ht="15" customHeight="1">
      <c r="A122" s="2">
        <v>121</v>
      </c>
      <c r="B122" s="2" t="s">
        <v>236</v>
      </c>
      <c r="C122" s="3" t="s">
        <v>53</v>
      </c>
      <c r="D122" s="3" t="s">
        <v>10</v>
      </c>
      <c r="E122" s="3" t="s">
        <v>237</v>
      </c>
      <c r="F122" s="3">
        <v>1</v>
      </c>
      <c r="G122" s="4">
        <v>199</v>
      </c>
      <c r="H122" s="4">
        <f t="shared" si="4"/>
        <v>199</v>
      </c>
      <c r="I122" s="4" t="str">
        <f t="shared" si="5"/>
        <v>May</v>
      </c>
      <c r="AH122" s="4"/>
      <c r="AI122" s="3"/>
    </row>
    <row r="123" spans="1:35" ht="15" customHeight="1">
      <c r="A123" s="5">
        <v>122</v>
      </c>
      <c r="B123" s="5" t="s">
        <v>236</v>
      </c>
      <c r="C123" s="6" t="s">
        <v>60</v>
      </c>
      <c r="D123" s="6" t="s">
        <v>10</v>
      </c>
      <c r="E123" s="6" t="s">
        <v>237</v>
      </c>
      <c r="F123" s="6">
        <v>1</v>
      </c>
      <c r="G123" s="7">
        <v>120</v>
      </c>
      <c r="H123" s="14">
        <f t="shared" si="4"/>
        <v>120</v>
      </c>
      <c r="I123" s="14" t="str">
        <f t="shared" si="5"/>
        <v>May</v>
      </c>
      <c r="AH123" s="7"/>
      <c r="AI123" s="6"/>
    </row>
    <row r="124" spans="1:35" ht="15" customHeight="1">
      <c r="A124" s="2">
        <v>123</v>
      </c>
      <c r="B124" s="2" t="s">
        <v>236</v>
      </c>
      <c r="C124" s="3" t="s">
        <v>50</v>
      </c>
      <c r="D124" s="3" t="s">
        <v>19</v>
      </c>
      <c r="E124" s="3" t="s">
        <v>237</v>
      </c>
      <c r="F124" s="3">
        <v>1</v>
      </c>
      <c r="G124" s="4">
        <v>275</v>
      </c>
      <c r="H124" s="4">
        <f t="shared" si="4"/>
        <v>275</v>
      </c>
      <c r="I124" s="4" t="str">
        <f t="shared" si="5"/>
        <v>May</v>
      </c>
      <c r="AH124" s="4"/>
      <c r="AI124" s="3"/>
    </row>
    <row r="125" spans="1:35" ht="15" customHeight="1">
      <c r="A125" s="5">
        <v>124</v>
      </c>
      <c r="B125" s="5" t="s">
        <v>238</v>
      </c>
      <c r="C125" s="6" t="s">
        <v>21</v>
      </c>
      <c r="D125" s="6" t="s">
        <v>16</v>
      </c>
      <c r="E125" s="6" t="s">
        <v>237</v>
      </c>
      <c r="F125" s="6">
        <v>1</v>
      </c>
      <c r="G125" s="7">
        <v>199</v>
      </c>
      <c r="H125" s="14">
        <f t="shared" si="4"/>
        <v>199</v>
      </c>
      <c r="I125" s="14" t="str">
        <f t="shared" si="5"/>
        <v>May</v>
      </c>
      <c r="AH125" s="7"/>
      <c r="AI125" s="6"/>
    </row>
    <row r="126" spans="1:35" ht="15" customHeight="1">
      <c r="A126" s="2">
        <v>125</v>
      </c>
      <c r="B126" s="2" t="s">
        <v>238</v>
      </c>
      <c r="C126" s="3" t="s">
        <v>70</v>
      </c>
      <c r="D126" s="3" t="s">
        <v>19</v>
      </c>
      <c r="E126" s="3" t="s">
        <v>237</v>
      </c>
      <c r="F126" s="3">
        <v>1</v>
      </c>
      <c r="G126" s="4">
        <v>250</v>
      </c>
      <c r="H126" s="4">
        <f t="shared" si="4"/>
        <v>250</v>
      </c>
      <c r="I126" s="4" t="str">
        <f t="shared" si="5"/>
        <v>May</v>
      </c>
      <c r="AH126" s="4"/>
      <c r="AI126" s="3"/>
    </row>
    <row r="127" spans="1:35" ht="15" customHeight="1">
      <c r="A127" s="5">
        <v>126</v>
      </c>
      <c r="B127" s="5" t="s">
        <v>239</v>
      </c>
      <c r="C127" s="6" t="s">
        <v>35</v>
      </c>
      <c r="D127" s="6" t="s">
        <v>11</v>
      </c>
      <c r="E127" s="6" t="s">
        <v>240</v>
      </c>
      <c r="F127" s="6">
        <v>1</v>
      </c>
      <c r="G127" s="7">
        <v>550</v>
      </c>
      <c r="H127" s="14">
        <f t="shared" si="4"/>
        <v>550</v>
      </c>
      <c r="I127" s="14" t="str">
        <f t="shared" si="5"/>
        <v>May</v>
      </c>
      <c r="AH127" s="7"/>
      <c r="AI127" s="6"/>
    </row>
    <row r="128" spans="1:35" ht="15" customHeight="1">
      <c r="A128" s="2">
        <v>127</v>
      </c>
      <c r="B128" s="2" t="s">
        <v>239</v>
      </c>
      <c r="C128" s="3" t="s">
        <v>81</v>
      </c>
      <c r="D128" s="3" t="s">
        <v>10</v>
      </c>
      <c r="E128" s="3" t="s">
        <v>240</v>
      </c>
      <c r="F128" s="3">
        <v>1</v>
      </c>
      <c r="G128" s="4">
        <v>125</v>
      </c>
      <c r="H128" s="4">
        <f t="shared" si="4"/>
        <v>125</v>
      </c>
      <c r="I128" s="4" t="str">
        <f t="shared" si="5"/>
        <v>May</v>
      </c>
      <c r="AH128" s="4"/>
      <c r="AI128" s="3"/>
    </row>
    <row r="129" spans="1:35" ht="15" customHeight="1">
      <c r="A129" s="5">
        <v>128</v>
      </c>
      <c r="B129" s="5" t="s">
        <v>239</v>
      </c>
      <c r="C129" s="6" t="s">
        <v>43</v>
      </c>
      <c r="D129" s="6" t="s">
        <v>10</v>
      </c>
      <c r="E129" s="6" t="s">
        <v>240</v>
      </c>
      <c r="F129" s="6">
        <v>1</v>
      </c>
      <c r="G129" s="7">
        <v>175</v>
      </c>
      <c r="H129" s="14">
        <f t="shared" si="4"/>
        <v>175</v>
      </c>
      <c r="I129" s="14" t="str">
        <f t="shared" si="5"/>
        <v>May</v>
      </c>
      <c r="AH129" s="7"/>
      <c r="AI129" s="6"/>
    </row>
    <row r="130" spans="1:35" ht="15" customHeight="1">
      <c r="A130" s="2">
        <v>129</v>
      </c>
      <c r="B130" s="2" t="s">
        <v>241</v>
      </c>
      <c r="C130" s="3" t="s">
        <v>53</v>
      </c>
      <c r="D130" s="3" t="s">
        <v>10</v>
      </c>
      <c r="E130" s="3" t="s">
        <v>242</v>
      </c>
      <c r="F130" s="3">
        <v>2</v>
      </c>
      <c r="G130" s="4">
        <v>199</v>
      </c>
      <c r="H130" s="4">
        <f t="shared" ref="H130:H193" si="6">F130*G130</f>
        <v>398</v>
      </c>
      <c r="I130" s="4" t="str">
        <f t="shared" ref="I130:I193" si="7">TEXT(DATE(RIGHT(E130,4),MID(E130,4,2),LEFT(E130,2)),"MMM")</f>
        <v>May</v>
      </c>
      <c r="AH130" s="4"/>
      <c r="AI130" s="3"/>
    </row>
    <row r="131" spans="1:35" ht="15" customHeight="1">
      <c r="A131" s="5">
        <v>130</v>
      </c>
      <c r="B131" s="5" t="s">
        <v>243</v>
      </c>
      <c r="C131" s="6" t="s">
        <v>80</v>
      </c>
      <c r="D131" s="6" t="s">
        <v>19</v>
      </c>
      <c r="E131" s="6" t="s">
        <v>244</v>
      </c>
      <c r="F131" s="6">
        <v>1</v>
      </c>
      <c r="G131" s="7">
        <v>199</v>
      </c>
      <c r="H131" s="14">
        <f t="shared" si="6"/>
        <v>199</v>
      </c>
      <c r="I131" s="14" t="str">
        <f t="shared" si="7"/>
        <v>May</v>
      </c>
      <c r="AH131" s="7"/>
      <c r="AI131" s="6"/>
    </row>
    <row r="132" spans="1:35" ht="23.9" customHeight="1">
      <c r="A132" s="2">
        <v>131</v>
      </c>
      <c r="B132" s="2" t="s">
        <v>243</v>
      </c>
      <c r="C132" s="10" t="s">
        <v>68</v>
      </c>
      <c r="D132" s="3" t="s">
        <v>16</v>
      </c>
      <c r="E132" s="3" t="s">
        <v>244</v>
      </c>
      <c r="F132" s="3">
        <v>1</v>
      </c>
      <c r="G132" s="4">
        <v>275</v>
      </c>
      <c r="H132" s="4">
        <f t="shared" si="6"/>
        <v>275</v>
      </c>
      <c r="I132" s="4" t="str">
        <f t="shared" si="7"/>
        <v>May</v>
      </c>
      <c r="AH132" s="4"/>
      <c r="AI132" s="3"/>
    </row>
    <row r="133" spans="1:35" ht="15" customHeight="1">
      <c r="A133" s="5">
        <v>132</v>
      </c>
      <c r="B133" s="5" t="s">
        <v>245</v>
      </c>
      <c r="C133" s="6" t="s">
        <v>61</v>
      </c>
      <c r="D133" s="6" t="s">
        <v>11</v>
      </c>
      <c r="E133" s="6" t="s">
        <v>244</v>
      </c>
      <c r="F133" s="6">
        <v>1</v>
      </c>
      <c r="G133" s="7">
        <v>350</v>
      </c>
      <c r="H133" s="14">
        <f t="shared" si="6"/>
        <v>350</v>
      </c>
      <c r="I133" s="14" t="str">
        <f t="shared" si="7"/>
        <v>May</v>
      </c>
      <c r="AH133" s="7"/>
      <c r="AI133" s="6"/>
    </row>
    <row r="134" spans="1:35" ht="15" customHeight="1">
      <c r="A134" s="2">
        <v>133</v>
      </c>
      <c r="B134" s="2" t="s">
        <v>245</v>
      </c>
      <c r="C134" s="3" t="s">
        <v>92</v>
      </c>
      <c r="D134" s="3" t="s">
        <v>10</v>
      </c>
      <c r="E134" s="3" t="s">
        <v>244</v>
      </c>
      <c r="F134" s="3">
        <v>1</v>
      </c>
      <c r="G134" s="4">
        <v>99</v>
      </c>
      <c r="H134" s="4">
        <f t="shared" si="6"/>
        <v>99</v>
      </c>
      <c r="I134" s="4" t="str">
        <f t="shared" si="7"/>
        <v>May</v>
      </c>
      <c r="AH134" s="4"/>
      <c r="AI134" s="3"/>
    </row>
    <row r="135" spans="1:35" ht="15" customHeight="1">
      <c r="A135" s="5">
        <v>134</v>
      </c>
      <c r="B135" s="5" t="s">
        <v>245</v>
      </c>
      <c r="C135" s="6" t="s">
        <v>82</v>
      </c>
      <c r="D135" s="6" t="s">
        <v>10</v>
      </c>
      <c r="E135" s="6" t="s">
        <v>244</v>
      </c>
      <c r="F135" s="6">
        <v>1</v>
      </c>
      <c r="G135" s="7">
        <v>180</v>
      </c>
      <c r="H135" s="14">
        <f t="shared" si="6"/>
        <v>180</v>
      </c>
      <c r="I135" s="14" t="str">
        <f t="shared" si="7"/>
        <v>May</v>
      </c>
      <c r="AH135" s="7"/>
      <c r="AI135" s="6"/>
    </row>
    <row r="136" spans="1:35" ht="15" customHeight="1">
      <c r="A136" s="2">
        <v>135</v>
      </c>
      <c r="B136" s="2" t="s">
        <v>246</v>
      </c>
      <c r="C136" s="10" t="s">
        <v>86</v>
      </c>
      <c r="D136" s="3" t="s">
        <v>16</v>
      </c>
      <c r="E136" s="3" t="s">
        <v>247</v>
      </c>
      <c r="F136" s="3">
        <v>1</v>
      </c>
      <c r="G136" s="4">
        <v>175</v>
      </c>
      <c r="H136" s="4">
        <f t="shared" si="6"/>
        <v>175</v>
      </c>
      <c r="I136" s="4" t="str">
        <f t="shared" si="7"/>
        <v>May</v>
      </c>
      <c r="AH136" s="4"/>
      <c r="AI136" s="3"/>
    </row>
    <row r="137" spans="1:35" ht="15" customHeight="1">
      <c r="A137" s="5">
        <v>136</v>
      </c>
      <c r="B137" s="5" t="s">
        <v>248</v>
      </c>
      <c r="C137" s="6" t="s">
        <v>36</v>
      </c>
      <c r="D137" s="6" t="s">
        <v>11</v>
      </c>
      <c r="E137" s="6" t="s">
        <v>249</v>
      </c>
      <c r="F137" s="6">
        <v>1</v>
      </c>
      <c r="G137" s="7">
        <v>349</v>
      </c>
      <c r="H137" s="14">
        <f t="shared" si="6"/>
        <v>349</v>
      </c>
      <c r="I137" s="14" t="str">
        <f t="shared" si="7"/>
        <v>May</v>
      </c>
      <c r="AH137" s="7"/>
      <c r="AI137" s="6"/>
    </row>
    <row r="138" spans="1:35" ht="15" customHeight="1">
      <c r="A138" s="2">
        <v>137</v>
      </c>
      <c r="B138" s="2" t="s">
        <v>248</v>
      </c>
      <c r="C138" s="3" t="s">
        <v>50</v>
      </c>
      <c r="D138" s="3" t="s">
        <v>19</v>
      </c>
      <c r="E138" s="3" t="s">
        <v>249</v>
      </c>
      <c r="F138" s="3">
        <v>1</v>
      </c>
      <c r="G138" s="4">
        <v>275</v>
      </c>
      <c r="H138" s="4">
        <f t="shared" si="6"/>
        <v>275</v>
      </c>
      <c r="I138" s="4" t="str">
        <f t="shared" si="7"/>
        <v>May</v>
      </c>
      <c r="AH138" s="4"/>
      <c r="AI138" s="3"/>
    </row>
    <row r="139" spans="1:35" ht="15" customHeight="1">
      <c r="A139" s="5">
        <v>138</v>
      </c>
      <c r="B139" s="5" t="s">
        <v>250</v>
      </c>
      <c r="C139" s="6" t="s">
        <v>63</v>
      </c>
      <c r="D139" s="6" t="s">
        <v>11</v>
      </c>
      <c r="E139" s="6" t="s">
        <v>249</v>
      </c>
      <c r="F139" s="6">
        <v>1</v>
      </c>
      <c r="G139" s="7">
        <v>349</v>
      </c>
      <c r="H139" s="14">
        <f t="shared" si="6"/>
        <v>349</v>
      </c>
      <c r="I139" s="14" t="str">
        <f t="shared" si="7"/>
        <v>May</v>
      </c>
      <c r="AH139" s="7"/>
      <c r="AI139" s="6"/>
    </row>
    <row r="140" spans="1:35" ht="15" customHeight="1">
      <c r="A140" s="2">
        <v>139</v>
      </c>
      <c r="B140" s="2" t="s">
        <v>250</v>
      </c>
      <c r="C140" s="3" t="s">
        <v>85</v>
      </c>
      <c r="D140" s="3" t="s">
        <v>10</v>
      </c>
      <c r="E140" s="3" t="s">
        <v>249</v>
      </c>
      <c r="F140" s="3">
        <v>1</v>
      </c>
      <c r="G140" s="4">
        <v>175</v>
      </c>
      <c r="H140" s="4">
        <f t="shared" si="6"/>
        <v>175</v>
      </c>
      <c r="I140" s="4" t="str">
        <f t="shared" si="7"/>
        <v>May</v>
      </c>
      <c r="AH140" s="4"/>
      <c r="AI140" s="3"/>
    </row>
    <row r="141" spans="1:35" ht="15" customHeight="1">
      <c r="A141" s="5">
        <v>140</v>
      </c>
      <c r="B141" s="5" t="s">
        <v>250</v>
      </c>
      <c r="C141" s="6" t="s">
        <v>34</v>
      </c>
      <c r="D141" s="6" t="s">
        <v>16</v>
      </c>
      <c r="E141" s="6" t="s">
        <v>249</v>
      </c>
      <c r="F141" s="6">
        <v>1</v>
      </c>
      <c r="G141" s="7">
        <v>225</v>
      </c>
      <c r="H141" s="14">
        <f t="shared" si="6"/>
        <v>225</v>
      </c>
      <c r="I141" s="14" t="str">
        <f t="shared" si="7"/>
        <v>May</v>
      </c>
      <c r="AH141" s="7"/>
      <c r="AI141" s="6"/>
    </row>
    <row r="142" spans="1:35" ht="15" customHeight="1">
      <c r="A142" s="2">
        <v>141</v>
      </c>
      <c r="B142" s="2" t="s">
        <v>251</v>
      </c>
      <c r="C142" s="3" t="s">
        <v>43</v>
      </c>
      <c r="D142" s="3" t="s">
        <v>10</v>
      </c>
      <c r="E142" s="3" t="s">
        <v>252</v>
      </c>
      <c r="F142" s="3">
        <v>1</v>
      </c>
      <c r="G142" s="4">
        <v>175</v>
      </c>
      <c r="H142" s="4">
        <f t="shared" si="6"/>
        <v>175</v>
      </c>
      <c r="I142" s="4" t="str">
        <f t="shared" si="7"/>
        <v>May</v>
      </c>
      <c r="AH142" s="4"/>
      <c r="AI142" s="3"/>
    </row>
    <row r="143" spans="1:35" ht="15" customHeight="1">
      <c r="A143" s="5">
        <v>142</v>
      </c>
      <c r="B143" s="5" t="s">
        <v>253</v>
      </c>
      <c r="C143" s="6" t="s">
        <v>84</v>
      </c>
      <c r="D143" s="6" t="s">
        <v>10</v>
      </c>
      <c r="E143" s="6" t="s">
        <v>252</v>
      </c>
      <c r="F143" s="6">
        <v>1</v>
      </c>
      <c r="G143" s="7">
        <v>175</v>
      </c>
      <c r="H143" s="14">
        <f t="shared" si="6"/>
        <v>175</v>
      </c>
      <c r="I143" s="14" t="str">
        <f t="shared" si="7"/>
        <v>May</v>
      </c>
      <c r="AH143" s="7"/>
      <c r="AI143" s="6"/>
    </row>
    <row r="144" spans="1:35" ht="15" customHeight="1">
      <c r="A144" s="2">
        <v>143</v>
      </c>
      <c r="B144" s="2" t="s">
        <v>253</v>
      </c>
      <c r="C144" s="3" t="s">
        <v>25</v>
      </c>
      <c r="D144" s="3" t="s">
        <v>11</v>
      </c>
      <c r="E144" s="3" t="s">
        <v>252</v>
      </c>
      <c r="F144" s="3">
        <v>1</v>
      </c>
      <c r="G144" s="4">
        <v>249</v>
      </c>
      <c r="H144" s="4">
        <f t="shared" si="6"/>
        <v>249</v>
      </c>
      <c r="I144" s="4" t="str">
        <f t="shared" si="7"/>
        <v>May</v>
      </c>
      <c r="AH144" s="4"/>
      <c r="AI144" s="3"/>
    </row>
    <row r="145" spans="1:35" ht="15" customHeight="1">
      <c r="A145" s="5">
        <v>144</v>
      </c>
      <c r="B145" s="5" t="s">
        <v>253</v>
      </c>
      <c r="C145" s="6" t="s">
        <v>37</v>
      </c>
      <c r="D145" s="6" t="s">
        <v>16</v>
      </c>
      <c r="E145" s="6" t="s">
        <v>252</v>
      </c>
      <c r="F145" s="6">
        <v>1</v>
      </c>
      <c r="G145" s="7">
        <v>249</v>
      </c>
      <c r="H145" s="14">
        <f t="shared" si="6"/>
        <v>249</v>
      </c>
      <c r="I145" s="14" t="str">
        <f t="shared" si="7"/>
        <v>May</v>
      </c>
      <c r="AH145" s="7"/>
      <c r="AI145" s="6"/>
    </row>
    <row r="146" spans="1:35" ht="15" customHeight="1">
      <c r="A146" s="2">
        <v>145</v>
      </c>
      <c r="B146" s="2" t="s">
        <v>254</v>
      </c>
      <c r="C146" s="3" t="s">
        <v>66</v>
      </c>
      <c r="D146" s="3" t="s">
        <v>10</v>
      </c>
      <c r="E146" s="3" t="s">
        <v>255</v>
      </c>
      <c r="F146" s="3">
        <v>1</v>
      </c>
      <c r="G146" s="4">
        <v>199</v>
      </c>
      <c r="H146" s="4">
        <f t="shared" si="6"/>
        <v>199</v>
      </c>
      <c r="I146" s="4" t="str">
        <f t="shared" si="7"/>
        <v>May</v>
      </c>
      <c r="AH146" s="4"/>
      <c r="AI146" s="3"/>
    </row>
    <row r="147" spans="1:35" ht="15" customHeight="1">
      <c r="A147" s="5">
        <v>146</v>
      </c>
      <c r="B147" s="5" t="s">
        <v>254</v>
      </c>
      <c r="C147" s="6" t="s">
        <v>31</v>
      </c>
      <c r="D147" s="6" t="s">
        <v>11</v>
      </c>
      <c r="E147" s="6" t="s">
        <v>255</v>
      </c>
      <c r="F147" s="6">
        <v>1</v>
      </c>
      <c r="G147" s="7">
        <v>399</v>
      </c>
      <c r="H147" s="14">
        <f t="shared" si="6"/>
        <v>399</v>
      </c>
      <c r="I147" s="14" t="str">
        <f t="shared" si="7"/>
        <v>May</v>
      </c>
      <c r="AH147" s="7"/>
      <c r="AI147" s="6"/>
    </row>
    <row r="148" spans="1:35" ht="15" customHeight="1">
      <c r="A148" s="2">
        <v>147</v>
      </c>
      <c r="B148" s="2" t="s">
        <v>256</v>
      </c>
      <c r="C148" s="3" t="s">
        <v>76</v>
      </c>
      <c r="D148" s="3" t="s">
        <v>11</v>
      </c>
      <c r="E148" s="3" t="s">
        <v>255</v>
      </c>
      <c r="F148" s="3">
        <v>1</v>
      </c>
      <c r="G148" s="4">
        <v>215</v>
      </c>
      <c r="H148" s="4">
        <f t="shared" si="6"/>
        <v>215</v>
      </c>
      <c r="I148" s="4" t="str">
        <f t="shared" si="7"/>
        <v>May</v>
      </c>
      <c r="AH148" s="4"/>
      <c r="AI148" s="3"/>
    </row>
    <row r="149" spans="1:35" ht="15" customHeight="1">
      <c r="A149" s="5">
        <v>148</v>
      </c>
      <c r="B149" s="5" t="s">
        <v>256</v>
      </c>
      <c r="C149" s="9" t="s">
        <v>72</v>
      </c>
      <c r="D149" s="6" t="s">
        <v>16</v>
      </c>
      <c r="E149" s="6" t="s">
        <v>255</v>
      </c>
      <c r="F149" s="6">
        <v>1</v>
      </c>
      <c r="G149" s="7">
        <v>249</v>
      </c>
      <c r="H149" s="14">
        <f t="shared" si="6"/>
        <v>249</v>
      </c>
      <c r="I149" s="14" t="str">
        <f t="shared" si="7"/>
        <v>May</v>
      </c>
      <c r="AH149" s="7"/>
      <c r="AI149" s="6"/>
    </row>
    <row r="150" spans="1:35" ht="15" customHeight="1">
      <c r="A150" s="2">
        <v>149</v>
      </c>
      <c r="B150" s="2" t="s">
        <v>257</v>
      </c>
      <c r="C150" s="3" t="s">
        <v>39</v>
      </c>
      <c r="D150" s="3" t="s">
        <v>11</v>
      </c>
      <c r="E150" s="3" t="s">
        <v>258</v>
      </c>
      <c r="F150" s="3">
        <v>2</v>
      </c>
      <c r="G150" s="4">
        <v>299</v>
      </c>
      <c r="H150" s="4">
        <f t="shared" si="6"/>
        <v>598</v>
      </c>
      <c r="I150" s="4" t="str">
        <f t="shared" si="7"/>
        <v>May</v>
      </c>
      <c r="AH150" s="4"/>
      <c r="AI150" s="3"/>
    </row>
    <row r="151" spans="1:35" ht="15" customHeight="1">
      <c r="A151" s="5">
        <v>150</v>
      </c>
      <c r="B151" s="5" t="s">
        <v>257</v>
      </c>
      <c r="C151" s="6" t="s">
        <v>47</v>
      </c>
      <c r="D151" s="6" t="s">
        <v>10</v>
      </c>
      <c r="E151" s="6" t="s">
        <v>258</v>
      </c>
      <c r="F151" s="6">
        <v>1</v>
      </c>
      <c r="G151" s="7">
        <v>275</v>
      </c>
      <c r="H151" s="14">
        <f t="shared" si="6"/>
        <v>275</v>
      </c>
      <c r="I151" s="14" t="str">
        <f t="shared" si="7"/>
        <v>May</v>
      </c>
      <c r="AH151" s="7"/>
      <c r="AI151" s="6"/>
    </row>
    <row r="152" spans="1:35" ht="15" customHeight="1">
      <c r="A152" s="2">
        <v>151</v>
      </c>
      <c r="B152" s="2" t="s">
        <v>259</v>
      </c>
      <c r="C152" s="3" t="s">
        <v>13</v>
      </c>
      <c r="D152" s="3" t="s">
        <v>10</v>
      </c>
      <c r="E152" s="3" t="s">
        <v>258</v>
      </c>
      <c r="F152" s="3">
        <v>1</v>
      </c>
      <c r="G152" s="4">
        <v>499</v>
      </c>
      <c r="H152" s="4">
        <f t="shared" si="6"/>
        <v>499</v>
      </c>
      <c r="I152" s="4" t="str">
        <f t="shared" si="7"/>
        <v>May</v>
      </c>
      <c r="AH152" s="4"/>
      <c r="AI152" s="3"/>
    </row>
    <row r="153" spans="1:35" ht="15" customHeight="1">
      <c r="A153" s="5">
        <v>152</v>
      </c>
      <c r="B153" s="5" t="s">
        <v>259</v>
      </c>
      <c r="C153" s="6" t="s">
        <v>52</v>
      </c>
      <c r="D153" s="6" t="s">
        <v>10</v>
      </c>
      <c r="E153" s="6" t="s">
        <v>258</v>
      </c>
      <c r="F153" s="6">
        <v>1</v>
      </c>
      <c r="G153" s="7">
        <v>199</v>
      </c>
      <c r="H153" s="14">
        <f t="shared" si="6"/>
        <v>199</v>
      </c>
      <c r="I153" s="14" t="str">
        <f t="shared" si="7"/>
        <v>May</v>
      </c>
      <c r="AH153" s="7"/>
      <c r="AI153" s="6"/>
    </row>
    <row r="154" spans="1:35" ht="15" customHeight="1">
      <c r="A154" s="2">
        <v>153</v>
      </c>
      <c r="B154" s="2" t="s">
        <v>260</v>
      </c>
      <c r="C154" s="3" t="s">
        <v>57</v>
      </c>
      <c r="D154" s="3" t="s">
        <v>11</v>
      </c>
      <c r="E154" s="3" t="s">
        <v>261</v>
      </c>
      <c r="F154" s="3">
        <v>1</v>
      </c>
      <c r="G154" s="4">
        <v>249</v>
      </c>
      <c r="H154" s="4">
        <f t="shared" si="6"/>
        <v>249</v>
      </c>
      <c r="I154" s="4" t="str">
        <f t="shared" si="7"/>
        <v>May</v>
      </c>
      <c r="AH154" s="4"/>
      <c r="AI154" s="3"/>
    </row>
    <row r="155" spans="1:35" ht="15" customHeight="1">
      <c r="A155" s="5">
        <v>154</v>
      </c>
      <c r="B155" s="5" t="s">
        <v>260</v>
      </c>
      <c r="C155" s="9" t="s">
        <v>75</v>
      </c>
      <c r="D155" s="6" t="s">
        <v>16</v>
      </c>
      <c r="E155" s="6" t="s">
        <v>261</v>
      </c>
      <c r="F155" s="6">
        <v>1</v>
      </c>
      <c r="G155" s="7">
        <v>150</v>
      </c>
      <c r="H155" s="14">
        <f t="shared" si="6"/>
        <v>150</v>
      </c>
      <c r="I155" s="14" t="str">
        <f t="shared" si="7"/>
        <v>May</v>
      </c>
      <c r="AH155" s="7"/>
      <c r="AI155" s="6"/>
    </row>
    <row r="156" spans="1:35" ht="15" customHeight="1">
      <c r="A156" s="2">
        <v>155</v>
      </c>
      <c r="B156" s="2" t="s">
        <v>260</v>
      </c>
      <c r="C156" s="3" t="s">
        <v>33</v>
      </c>
      <c r="D156" s="3" t="s">
        <v>11</v>
      </c>
      <c r="E156" s="3" t="s">
        <v>261</v>
      </c>
      <c r="F156" s="3">
        <v>1</v>
      </c>
      <c r="G156" s="4">
        <v>375</v>
      </c>
      <c r="H156" s="4">
        <f t="shared" si="6"/>
        <v>375</v>
      </c>
      <c r="I156" s="4" t="str">
        <f t="shared" si="7"/>
        <v>May</v>
      </c>
      <c r="AH156" s="4"/>
      <c r="AI156" s="3"/>
    </row>
    <row r="157" spans="1:35" ht="15" customHeight="1">
      <c r="A157" s="5">
        <v>156</v>
      </c>
      <c r="B157" s="5" t="s">
        <v>262</v>
      </c>
      <c r="C157" s="6" t="s">
        <v>46</v>
      </c>
      <c r="D157" s="6" t="s">
        <v>11</v>
      </c>
      <c r="E157" s="6" t="s">
        <v>261</v>
      </c>
      <c r="F157" s="6">
        <v>1</v>
      </c>
      <c r="G157" s="7">
        <v>275</v>
      </c>
      <c r="H157" s="14">
        <f t="shared" si="6"/>
        <v>275</v>
      </c>
      <c r="I157" s="14" t="str">
        <f t="shared" si="7"/>
        <v>May</v>
      </c>
      <c r="AH157" s="7"/>
      <c r="AI157" s="6"/>
    </row>
    <row r="158" spans="1:35" ht="15" customHeight="1">
      <c r="A158" s="2">
        <v>157</v>
      </c>
      <c r="B158" s="2" t="s">
        <v>262</v>
      </c>
      <c r="C158" s="3" t="s">
        <v>78</v>
      </c>
      <c r="D158" s="3" t="s">
        <v>11</v>
      </c>
      <c r="E158" s="3" t="s">
        <v>261</v>
      </c>
      <c r="F158" s="3">
        <v>1</v>
      </c>
      <c r="G158" s="4">
        <v>199</v>
      </c>
      <c r="H158" s="4">
        <f t="shared" si="6"/>
        <v>199</v>
      </c>
      <c r="I158" s="4" t="str">
        <f t="shared" si="7"/>
        <v>May</v>
      </c>
      <c r="AH158" s="4"/>
      <c r="AI158" s="3"/>
    </row>
    <row r="159" spans="1:35" ht="15" customHeight="1">
      <c r="A159" s="5">
        <v>158</v>
      </c>
      <c r="B159" s="5" t="s">
        <v>262</v>
      </c>
      <c r="C159" s="6" t="s">
        <v>13</v>
      </c>
      <c r="D159" s="6" t="s">
        <v>10</v>
      </c>
      <c r="E159" s="6" t="s">
        <v>261</v>
      </c>
      <c r="F159" s="6">
        <v>1</v>
      </c>
      <c r="G159" s="7">
        <v>499</v>
      </c>
      <c r="H159" s="14">
        <f t="shared" si="6"/>
        <v>499</v>
      </c>
      <c r="I159" s="14" t="str">
        <f t="shared" si="7"/>
        <v>May</v>
      </c>
      <c r="AH159" s="7"/>
      <c r="AI159" s="6"/>
    </row>
    <row r="160" spans="1:35" ht="15" customHeight="1">
      <c r="A160" s="2">
        <v>159</v>
      </c>
      <c r="B160" s="2" t="s">
        <v>263</v>
      </c>
      <c r="C160" s="3" t="s">
        <v>49</v>
      </c>
      <c r="D160" s="3" t="s">
        <v>10</v>
      </c>
      <c r="E160" s="3" t="s">
        <v>264</v>
      </c>
      <c r="F160" s="3">
        <v>1</v>
      </c>
      <c r="G160" s="4">
        <v>275</v>
      </c>
      <c r="H160" s="4">
        <f t="shared" si="6"/>
        <v>275</v>
      </c>
      <c r="I160" s="4" t="str">
        <f t="shared" si="7"/>
        <v>May</v>
      </c>
      <c r="AH160" s="4"/>
      <c r="AI160" s="3"/>
    </row>
    <row r="161" spans="1:35" ht="15" customHeight="1">
      <c r="A161" s="5">
        <v>160</v>
      </c>
      <c r="B161" s="5" t="s">
        <v>265</v>
      </c>
      <c r="C161" s="6" t="s">
        <v>44</v>
      </c>
      <c r="D161" s="6" t="s">
        <v>10</v>
      </c>
      <c r="E161" s="6" t="s">
        <v>264</v>
      </c>
      <c r="F161" s="6">
        <v>3</v>
      </c>
      <c r="G161" s="7">
        <v>175</v>
      </c>
      <c r="H161" s="14">
        <f t="shared" si="6"/>
        <v>525</v>
      </c>
      <c r="I161" s="14" t="str">
        <f t="shared" si="7"/>
        <v>May</v>
      </c>
      <c r="AH161" s="7"/>
      <c r="AI161" s="6"/>
    </row>
    <row r="162" spans="1:35" ht="15" customHeight="1">
      <c r="A162" s="2">
        <v>161</v>
      </c>
      <c r="B162" s="2" t="s">
        <v>265</v>
      </c>
      <c r="C162" s="3" t="s">
        <v>67</v>
      </c>
      <c r="D162" s="3" t="s">
        <v>19</v>
      </c>
      <c r="E162" s="3" t="s">
        <v>264</v>
      </c>
      <c r="F162" s="3">
        <v>1</v>
      </c>
      <c r="G162" s="4">
        <v>199</v>
      </c>
      <c r="H162" s="4">
        <f t="shared" si="6"/>
        <v>199</v>
      </c>
      <c r="I162" s="4" t="str">
        <f t="shared" si="7"/>
        <v>May</v>
      </c>
      <c r="AH162" s="4"/>
      <c r="AI162" s="3"/>
    </row>
    <row r="163" spans="1:35" ht="15" customHeight="1">
      <c r="A163" s="5">
        <v>162</v>
      </c>
      <c r="B163" s="5" t="s">
        <v>265</v>
      </c>
      <c r="C163" s="9" t="s">
        <v>94</v>
      </c>
      <c r="D163" s="6" t="s">
        <v>16</v>
      </c>
      <c r="E163" s="6" t="s">
        <v>264</v>
      </c>
      <c r="F163" s="6">
        <v>1</v>
      </c>
      <c r="G163" s="7">
        <v>75</v>
      </c>
      <c r="H163" s="14">
        <f t="shared" si="6"/>
        <v>75</v>
      </c>
      <c r="I163" s="14" t="str">
        <f t="shared" si="7"/>
        <v>May</v>
      </c>
      <c r="AH163" s="7"/>
      <c r="AI163" s="6"/>
    </row>
    <row r="164" spans="1:35" ht="15" customHeight="1">
      <c r="A164" s="2">
        <v>163</v>
      </c>
      <c r="B164" s="2" t="s">
        <v>266</v>
      </c>
      <c r="C164" s="10" t="s">
        <v>73</v>
      </c>
      <c r="D164" s="3" t="s">
        <v>16</v>
      </c>
      <c r="E164" s="3" t="s">
        <v>267</v>
      </c>
      <c r="F164" s="3">
        <v>1</v>
      </c>
      <c r="G164" s="4">
        <v>249</v>
      </c>
      <c r="H164" s="4">
        <f t="shared" si="6"/>
        <v>249</v>
      </c>
      <c r="I164" s="4" t="str">
        <f t="shared" si="7"/>
        <v>May</v>
      </c>
      <c r="AH164" s="4"/>
      <c r="AI164" s="3"/>
    </row>
    <row r="165" spans="1:35" ht="15" customHeight="1">
      <c r="A165" s="5">
        <v>164</v>
      </c>
      <c r="B165" s="5" t="s">
        <v>266</v>
      </c>
      <c r="C165" s="6" t="s">
        <v>38</v>
      </c>
      <c r="D165" s="6" t="s">
        <v>11</v>
      </c>
      <c r="E165" s="6" t="s">
        <v>267</v>
      </c>
      <c r="F165" s="6">
        <v>1</v>
      </c>
      <c r="G165" s="7">
        <v>299</v>
      </c>
      <c r="H165" s="14">
        <f t="shared" si="6"/>
        <v>299</v>
      </c>
      <c r="I165" s="14" t="str">
        <f t="shared" si="7"/>
        <v>May</v>
      </c>
      <c r="AH165" s="7"/>
      <c r="AI165" s="6"/>
    </row>
    <row r="166" spans="1:35" ht="15" customHeight="1">
      <c r="A166" s="2">
        <v>165</v>
      </c>
      <c r="B166" s="2" t="s">
        <v>266</v>
      </c>
      <c r="C166" s="3" t="s">
        <v>64</v>
      </c>
      <c r="D166" s="3" t="s">
        <v>10</v>
      </c>
      <c r="E166" s="3" t="s">
        <v>267</v>
      </c>
      <c r="F166" s="3">
        <v>1</v>
      </c>
      <c r="G166" s="4">
        <v>225</v>
      </c>
      <c r="H166" s="4">
        <f t="shared" si="6"/>
        <v>225</v>
      </c>
      <c r="I166" s="4" t="str">
        <f t="shared" si="7"/>
        <v>May</v>
      </c>
      <c r="AH166" s="4"/>
      <c r="AI166" s="3"/>
    </row>
    <row r="167" spans="1:35" ht="15" customHeight="1">
      <c r="A167" s="5">
        <v>166</v>
      </c>
      <c r="B167" s="5" t="s">
        <v>268</v>
      </c>
      <c r="C167" s="6" t="s">
        <v>33</v>
      </c>
      <c r="D167" s="6" t="s">
        <v>11</v>
      </c>
      <c r="E167" s="6" t="s">
        <v>267</v>
      </c>
      <c r="F167" s="6">
        <v>1</v>
      </c>
      <c r="G167" s="7">
        <v>375</v>
      </c>
      <c r="H167" s="14">
        <f t="shared" si="6"/>
        <v>375</v>
      </c>
      <c r="I167" s="14" t="str">
        <f t="shared" si="7"/>
        <v>May</v>
      </c>
      <c r="AH167" s="7"/>
      <c r="AI167" s="6"/>
    </row>
    <row r="168" spans="1:35" ht="15" customHeight="1">
      <c r="A168" s="2">
        <v>167</v>
      </c>
      <c r="B168" s="2" t="s">
        <v>268</v>
      </c>
      <c r="C168" s="3" t="s">
        <v>66</v>
      </c>
      <c r="D168" s="3" t="s">
        <v>10</v>
      </c>
      <c r="E168" s="3" t="s">
        <v>267</v>
      </c>
      <c r="F168" s="3">
        <v>1</v>
      </c>
      <c r="G168" s="4">
        <v>199</v>
      </c>
      <c r="H168" s="4">
        <f t="shared" si="6"/>
        <v>199</v>
      </c>
      <c r="I168" s="4" t="str">
        <f t="shared" si="7"/>
        <v>May</v>
      </c>
      <c r="AH168" s="4"/>
      <c r="AI168" s="3"/>
    </row>
    <row r="169" spans="1:35" ht="15" customHeight="1">
      <c r="A169" s="5">
        <v>168</v>
      </c>
      <c r="B169" s="5" t="s">
        <v>269</v>
      </c>
      <c r="C169" s="6" t="s">
        <v>49</v>
      </c>
      <c r="D169" s="6" t="s">
        <v>10</v>
      </c>
      <c r="E169" s="6" t="s">
        <v>270</v>
      </c>
      <c r="F169" s="6">
        <v>2</v>
      </c>
      <c r="G169" s="7">
        <v>275</v>
      </c>
      <c r="H169" s="14">
        <f t="shared" si="6"/>
        <v>550</v>
      </c>
      <c r="I169" s="14" t="str">
        <f t="shared" si="7"/>
        <v>May</v>
      </c>
      <c r="AH169" s="7"/>
      <c r="AI169" s="6"/>
    </row>
    <row r="170" spans="1:35" ht="15" customHeight="1">
      <c r="A170" s="2">
        <v>169</v>
      </c>
      <c r="B170" s="2" t="s">
        <v>271</v>
      </c>
      <c r="C170" s="3" t="s">
        <v>78</v>
      </c>
      <c r="D170" s="3" t="s">
        <v>11</v>
      </c>
      <c r="E170" s="3" t="s">
        <v>270</v>
      </c>
      <c r="F170" s="3">
        <v>1</v>
      </c>
      <c r="G170" s="4">
        <v>199</v>
      </c>
      <c r="H170" s="4">
        <f t="shared" si="6"/>
        <v>199</v>
      </c>
      <c r="I170" s="4" t="str">
        <f t="shared" si="7"/>
        <v>May</v>
      </c>
      <c r="AH170" s="4"/>
      <c r="AI170" s="3"/>
    </row>
    <row r="171" spans="1:35" ht="15" customHeight="1">
      <c r="A171" s="5">
        <v>170</v>
      </c>
      <c r="B171" s="5" t="s">
        <v>271</v>
      </c>
      <c r="C171" s="6" t="s">
        <v>64</v>
      </c>
      <c r="D171" s="6" t="s">
        <v>10</v>
      </c>
      <c r="E171" s="6" t="s">
        <v>270</v>
      </c>
      <c r="F171" s="6">
        <v>1</v>
      </c>
      <c r="G171" s="7">
        <v>225</v>
      </c>
      <c r="H171" s="14">
        <f t="shared" si="6"/>
        <v>225</v>
      </c>
      <c r="I171" s="14" t="str">
        <f t="shared" si="7"/>
        <v>May</v>
      </c>
      <c r="AH171" s="7"/>
      <c r="AI171" s="6"/>
    </row>
    <row r="172" spans="1:35" ht="15" customHeight="1">
      <c r="A172" s="2">
        <v>171</v>
      </c>
      <c r="B172" s="2" t="s">
        <v>271</v>
      </c>
      <c r="C172" s="10" t="s">
        <v>72</v>
      </c>
      <c r="D172" s="3" t="s">
        <v>16</v>
      </c>
      <c r="E172" s="3" t="s">
        <v>270</v>
      </c>
      <c r="F172" s="3">
        <v>1</v>
      </c>
      <c r="G172" s="4">
        <v>249</v>
      </c>
      <c r="H172" s="4">
        <f t="shared" si="6"/>
        <v>249</v>
      </c>
      <c r="I172" s="4" t="str">
        <f t="shared" si="7"/>
        <v>May</v>
      </c>
      <c r="AH172" s="4"/>
      <c r="AI172" s="3"/>
    </row>
    <row r="173" spans="1:35" ht="15" customHeight="1">
      <c r="A173" s="5">
        <v>172</v>
      </c>
      <c r="B173" s="5" t="s">
        <v>272</v>
      </c>
      <c r="C173" s="6" t="s">
        <v>67</v>
      </c>
      <c r="D173" s="6" t="s">
        <v>19</v>
      </c>
      <c r="E173" s="6" t="s">
        <v>273</v>
      </c>
      <c r="F173" s="6">
        <v>1</v>
      </c>
      <c r="G173" s="7">
        <v>199</v>
      </c>
      <c r="H173" s="14">
        <f t="shared" si="6"/>
        <v>199</v>
      </c>
      <c r="I173" s="14" t="str">
        <f t="shared" si="7"/>
        <v>May</v>
      </c>
      <c r="AH173" s="7"/>
      <c r="AI173" s="6"/>
    </row>
    <row r="174" spans="1:35" ht="15" customHeight="1">
      <c r="A174" s="2">
        <v>173</v>
      </c>
      <c r="B174" s="2" t="s">
        <v>272</v>
      </c>
      <c r="C174" s="3" t="s">
        <v>44</v>
      </c>
      <c r="D174" s="3" t="s">
        <v>10</v>
      </c>
      <c r="E174" s="3" t="s">
        <v>273</v>
      </c>
      <c r="F174" s="3">
        <v>2</v>
      </c>
      <c r="G174" s="4">
        <v>175</v>
      </c>
      <c r="H174" s="4">
        <f t="shared" si="6"/>
        <v>350</v>
      </c>
      <c r="I174" s="4" t="str">
        <f t="shared" si="7"/>
        <v>May</v>
      </c>
      <c r="AH174" s="4"/>
      <c r="AI174" s="3"/>
    </row>
    <row r="175" spans="1:35" ht="15" customHeight="1">
      <c r="A175" s="5">
        <v>174</v>
      </c>
      <c r="B175" s="5" t="s">
        <v>274</v>
      </c>
      <c r="C175" s="9" t="s">
        <v>73</v>
      </c>
      <c r="D175" s="6" t="s">
        <v>16</v>
      </c>
      <c r="E175" s="6" t="s">
        <v>273</v>
      </c>
      <c r="F175" s="6">
        <v>1</v>
      </c>
      <c r="G175" s="7">
        <v>249</v>
      </c>
      <c r="H175" s="14">
        <f t="shared" si="6"/>
        <v>249</v>
      </c>
      <c r="I175" s="14" t="str">
        <f t="shared" si="7"/>
        <v>May</v>
      </c>
      <c r="AH175" s="7"/>
      <c r="AI175" s="6"/>
    </row>
    <row r="176" spans="1:35" ht="15" customHeight="1">
      <c r="A176" s="2">
        <v>175</v>
      </c>
      <c r="B176" s="2" t="s">
        <v>275</v>
      </c>
      <c r="C176" s="3" t="s">
        <v>31</v>
      </c>
      <c r="D176" s="3" t="s">
        <v>11</v>
      </c>
      <c r="E176" s="3" t="s">
        <v>276</v>
      </c>
      <c r="F176" s="3">
        <v>1</v>
      </c>
      <c r="G176" s="4">
        <v>399</v>
      </c>
      <c r="H176" s="4">
        <f t="shared" si="6"/>
        <v>399</v>
      </c>
      <c r="I176" s="4" t="str">
        <f t="shared" si="7"/>
        <v>May</v>
      </c>
      <c r="AH176" s="4"/>
      <c r="AI176" s="3"/>
    </row>
    <row r="177" spans="1:35" ht="15" customHeight="1">
      <c r="A177" s="5">
        <v>176</v>
      </c>
      <c r="B177" s="5" t="s">
        <v>275</v>
      </c>
      <c r="C177" s="6" t="s">
        <v>13</v>
      </c>
      <c r="D177" s="6" t="s">
        <v>10</v>
      </c>
      <c r="E177" s="6" t="s">
        <v>276</v>
      </c>
      <c r="F177" s="6">
        <v>1</v>
      </c>
      <c r="G177" s="7">
        <v>499</v>
      </c>
      <c r="H177" s="14">
        <f t="shared" si="6"/>
        <v>499</v>
      </c>
      <c r="I177" s="14" t="str">
        <f t="shared" si="7"/>
        <v>May</v>
      </c>
      <c r="AH177" s="7"/>
      <c r="AI177" s="6"/>
    </row>
    <row r="178" spans="1:35" ht="15" customHeight="1">
      <c r="A178" s="2">
        <v>177</v>
      </c>
      <c r="B178" s="2" t="s">
        <v>275</v>
      </c>
      <c r="C178" s="10" t="s">
        <v>94</v>
      </c>
      <c r="D178" s="3" t="s">
        <v>16</v>
      </c>
      <c r="E178" s="3" t="s">
        <v>276</v>
      </c>
      <c r="F178" s="3">
        <v>1</v>
      </c>
      <c r="G178" s="4">
        <v>75</v>
      </c>
      <c r="H178" s="4">
        <f t="shared" si="6"/>
        <v>75</v>
      </c>
      <c r="I178" s="4" t="str">
        <f t="shared" si="7"/>
        <v>May</v>
      </c>
      <c r="AH178" s="4"/>
      <c r="AI178" s="3"/>
    </row>
    <row r="179" spans="1:35" ht="15" customHeight="1">
      <c r="A179" s="5">
        <v>178</v>
      </c>
      <c r="B179" s="5" t="s">
        <v>277</v>
      </c>
      <c r="C179" s="6" t="s">
        <v>46</v>
      </c>
      <c r="D179" s="6" t="s">
        <v>11</v>
      </c>
      <c r="E179" s="6" t="s">
        <v>276</v>
      </c>
      <c r="F179" s="6">
        <v>1</v>
      </c>
      <c r="G179" s="7">
        <v>275</v>
      </c>
      <c r="H179" s="14">
        <f t="shared" si="6"/>
        <v>275</v>
      </c>
      <c r="I179" s="14" t="str">
        <f t="shared" si="7"/>
        <v>May</v>
      </c>
      <c r="AH179" s="7"/>
      <c r="AI179" s="6"/>
    </row>
    <row r="180" spans="1:35" ht="15" customHeight="1">
      <c r="A180" s="2">
        <v>179</v>
      </c>
      <c r="B180" s="2" t="s">
        <v>277</v>
      </c>
      <c r="C180" s="3" t="s">
        <v>43</v>
      </c>
      <c r="D180" s="3" t="s">
        <v>10</v>
      </c>
      <c r="E180" s="3" t="s">
        <v>276</v>
      </c>
      <c r="F180" s="3">
        <v>1</v>
      </c>
      <c r="G180" s="4">
        <v>175</v>
      </c>
      <c r="H180" s="4">
        <f t="shared" si="6"/>
        <v>175</v>
      </c>
      <c r="I180" s="4" t="str">
        <f t="shared" si="7"/>
        <v>May</v>
      </c>
      <c r="AH180" s="4"/>
      <c r="AI180" s="3"/>
    </row>
    <row r="181" spans="1:35" ht="15" customHeight="1">
      <c r="A181" s="5">
        <v>180</v>
      </c>
      <c r="B181" s="5" t="s">
        <v>278</v>
      </c>
      <c r="C181" s="9" t="s">
        <v>75</v>
      </c>
      <c r="D181" s="6" t="s">
        <v>16</v>
      </c>
      <c r="E181" s="6" t="s">
        <v>279</v>
      </c>
      <c r="F181" s="6">
        <v>2</v>
      </c>
      <c r="G181" s="7">
        <v>150</v>
      </c>
      <c r="H181" s="14">
        <f t="shared" si="6"/>
        <v>300</v>
      </c>
      <c r="I181" s="14" t="str">
        <f t="shared" si="7"/>
        <v>May</v>
      </c>
      <c r="AH181" s="7"/>
      <c r="AI181" s="6"/>
    </row>
    <row r="182" spans="1:35" ht="15" customHeight="1">
      <c r="A182" s="2">
        <v>181</v>
      </c>
      <c r="B182" s="2" t="s">
        <v>280</v>
      </c>
      <c r="C182" s="3" t="s">
        <v>39</v>
      </c>
      <c r="D182" s="3" t="s">
        <v>11</v>
      </c>
      <c r="E182" s="3" t="s">
        <v>279</v>
      </c>
      <c r="F182" s="3">
        <v>1</v>
      </c>
      <c r="G182" s="4">
        <v>299</v>
      </c>
      <c r="H182" s="4">
        <f t="shared" si="6"/>
        <v>299</v>
      </c>
      <c r="I182" s="4" t="str">
        <f t="shared" si="7"/>
        <v>May</v>
      </c>
      <c r="AH182" s="4"/>
      <c r="AI182" s="3"/>
    </row>
    <row r="183" spans="1:35" ht="15" customHeight="1">
      <c r="A183" s="5">
        <v>182</v>
      </c>
      <c r="B183" s="5" t="s">
        <v>280</v>
      </c>
      <c r="C183" s="6" t="s">
        <v>66</v>
      </c>
      <c r="D183" s="6" t="s">
        <v>10</v>
      </c>
      <c r="E183" s="6" t="s">
        <v>279</v>
      </c>
      <c r="F183" s="6">
        <v>1</v>
      </c>
      <c r="G183" s="7">
        <v>199</v>
      </c>
      <c r="H183" s="14">
        <f t="shared" si="6"/>
        <v>199</v>
      </c>
      <c r="I183" s="14" t="str">
        <f t="shared" si="7"/>
        <v>May</v>
      </c>
      <c r="AH183" s="7"/>
      <c r="AI183" s="6"/>
    </row>
    <row r="184" spans="1:35" ht="15" customHeight="1">
      <c r="A184" s="2">
        <v>183</v>
      </c>
      <c r="B184" s="2" t="s">
        <v>280</v>
      </c>
      <c r="C184" s="3" t="s">
        <v>67</v>
      </c>
      <c r="D184" s="3" t="s">
        <v>19</v>
      </c>
      <c r="E184" s="3" t="s">
        <v>279</v>
      </c>
      <c r="F184" s="3">
        <v>1</v>
      </c>
      <c r="G184" s="4">
        <v>199</v>
      </c>
      <c r="H184" s="4">
        <f t="shared" si="6"/>
        <v>199</v>
      </c>
      <c r="I184" s="4" t="str">
        <f t="shared" si="7"/>
        <v>May</v>
      </c>
      <c r="AH184" s="4"/>
      <c r="AI184" s="3"/>
    </row>
    <row r="185" spans="1:35" ht="15" customHeight="1">
      <c r="A185" s="5">
        <v>184</v>
      </c>
      <c r="B185" s="5" t="s">
        <v>281</v>
      </c>
      <c r="C185" s="6" t="s">
        <v>64</v>
      </c>
      <c r="D185" s="6" t="s">
        <v>10</v>
      </c>
      <c r="E185" s="6" t="s">
        <v>282</v>
      </c>
      <c r="F185" s="6">
        <v>1</v>
      </c>
      <c r="G185" s="7">
        <v>225</v>
      </c>
      <c r="H185" s="14">
        <f t="shared" si="6"/>
        <v>225</v>
      </c>
      <c r="I185" s="14" t="str">
        <f t="shared" si="7"/>
        <v>May</v>
      </c>
      <c r="AH185" s="7"/>
      <c r="AI185" s="6"/>
    </row>
    <row r="186" spans="1:35" ht="15" customHeight="1">
      <c r="A186" s="2">
        <v>185</v>
      </c>
      <c r="B186" s="2" t="s">
        <v>281</v>
      </c>
      <c r="C186" s="3" t="s">
        <v>33</v>
      </c>
      <c r="D186" s="3" t="s">
        <v>11</v>
      </c>
      <c r="E186" s="3" t="s">
        <v>282</v>
      </c>
      <c r="F186" s="3">
        <v>1</v>
      </c>
      <c r="G186" s="4">
        <v>375</v>
      </c>
      <c r="H186" s="4">
        <f t="shared" si="6"/>
        <v>375</v>
      </c>
      <c r="I186" s="4" t="str">
        <f t="shared" si="7"/>
        <v>May</v>
      </c>
      <c r="AH186" s="4"/>
      <c r="AI186" s="3"/>
    </row>
    <row r="187" spans="1:35" ht="15" customHeight="1">
      <c r="A187" s="5">
        <v>186</v>
      </c>
      <c r="B187" s="5" t="s">
        <v>283</v>
      </c>
      <c r="C187" s="6" t="s">
        <v>25</v>
      </c>
      <c r="D187" s="6" t="s">
        <v>11</v>
      </c>
      <c r="E187" s="6" t="s">
        <v>282</v>
      </c>
      <c r="F187" s="6">
        <v>1</v>
      </c>
      <c r="G187" s="7">
        <v>249</v>
      </c>
      <c r="H187" s="14">
        <f t="shared" si="6"/>
        <v>249</v>
      </c>
      <c r="I187" s="14" t="str">
        <f t="shared" si="7"/>
        <v>May</v>
      </c>
      <c r="AH187" s="7"/>
      <c r="AI187" s="6"/>
    </row>
    <row r="188" spans="1:35" ht="15" customHeight="1">
      <c r="A188" s="2">
        <v>187</v>
      </c>
      <c r="B188" s="2" t="s">
        <v>283</v>
      </c>
      <c r="C188" s="3" t="s">
        <v>32</v>
      </c>
      <c r="D188" s="3" t="s">
        <v>11</v>
      </c>
      <c r="E188" s="3" t="s">
        <v>282</v>
      </c>
      <c r="F188" s="3">
        <v>1</v>
      </c>
      <c r="G188" s="4">
        <v>299</v>
      </c>
      <c r="H188" s="4">
        <f t="shared" si="6"/>
        <v>299</v>
      </c>
      <c r="I188" s="4" t="str">
        <f t="shared" si="7"/>
        <v>May</v>
      </c>
      <c r="AH188" s="4"/>
      <c r="AI188" s="3"/>
    </row>
    <row r="189" spans="1:35" ht="15" customHeight="1">
      <c r="A189" s="5">
        <v>188</v>
      </c>
      <c r="B189" s="5" t="s">
        <v>284</v>
      </c>
      <c r="C189" s="6" t="s">
        <v>95</v>
      </c>
      <c r="D189" s="6" t="s">
        <v>16</v>
      </c>
      <c r="E189" s="6" t="s">
        <v>285</v>
      </c>
      <c r="F189" s="6">
        <v>1</v>
      </c>
      <c r="G189" s="7">
        <v>149</v>
      </c>
      <c r="H189" s="14">
        <f t="shared" si="6"/>
        <v>149</v>
      </c>
      <c r="I189" s="14" t="str">
        <f t="shared" si="7"/>
        <v>May</v>
      </c>
      <c r="AH189" s="7"/>
      <c r="AI189" s="6"/>
    </row>
    <row r="190" spans="1:35" ht="15" customHeight="1">
      <c r="A190" s="2">
        <v>189</v>
      </c>
      <c r="B190" s="2" t="s">
        <v>284</v>
      </c>
      <c r="C190" s="3" t="s">
        <v>88</v>
      </c>
      <c r="D190" s="3" t="s">
        <v>10</v>
      </c>
      <c r="E190" s="3" t="s">
        <v>285</v>
      </c>
      <c r="F190" s="3">
        <v>1</v>
      </c>
      <c r="G190" s="4">
        <v>299</v>
      </c>
      <c r="H190" s="4">
        <f t="shared" si="6"/>
        <v>299</v>
      </c>
      <c r="I190" s="4" t="str">
        <f t="shared" si="7"/>
        <v>May</v>
      </c>
      <c r="AH190" s="4"/>
      <c r="AI190" s="3"/>
    </row>
    <row r="191" spans="1:35" ht="15" customHeight="1">
      <c r="A191" s="5">
        <v>190</v>
      </c>
      <c r="B191" s="5" t="s">
        <v>284</v>
      </c>
      <c r="C191" s="6" t="s">
        <v>31</v>
      </c>
      <c r="D191" s="6" t="s">
        <v>11</v>
      </c>
      <c r="E191" s="6" t="s">
        <v>285</v>
      </c>
      <c r="F191" s="6">
        <v>1</v>
      </c>
      <c r="G191" s="7">
        <v>399</v>
      </c>
      <c r="H191" s="14">
        <f t="shared" si="6"/>
        <v>399</v>
      </c>
      <c r="I191" s="14" t="str">
        <f t="shared" si="7"/>
        <v>May</v>
      </c>
      <c r="AH191" s="7"/>
      <c r="AI191" s="6"/>
    </row>
    <row r="192" spans="1:35" ht="15" customHeight="1">
      <c r="A192" s="2">
        <v>191</v>
      </c>
      <c r="B192" s="2" t="s">
        <v>286</v>
      </c>
      <c r="C192" s="3" t="s">
        <v>74</v>
      </c>
      <c r="D192" s="3" t="s">
        <v>11</v>
      </c>
      <c r="E192" s="3" t="s">
        <v>287</v>
      </c>
      <c r="F192" s="3">
        <v>1</v>
      </c>
      <c r="G192" s="4">
        <v>475</v>
      </c>
      <c r="H192" s="4">
        <f t="shared" si="6"/>
        <v>475</v>
      </c>
      <c r="I192" s="4" t="str">
        <f t="shared" si="7"/>
        <v>May</v>
      </c>
      <c r="AH192" s="4"/>
      <c r="AI192" s="3"/>
    </row>
    <row r="193" spans="1:35" ht="15" customHeight="1">
      <c r="A193" s="5">
        <v>192</v>
      </c>
      <c r="B193" s="5" t="s">
        <v>286</v>
      </c>
      <c r="C193" s="6" t="s">
        <v>36</v>
      </c>
      <c r="D193" s="6" t="s">
        <v>11</v>
      </c>
      <c r="E193" s="6" t="s">
        <v>287</v>
      </c>
      <c r="F193" s="6">
        <v>1</v>
      </c>
      <c r="G193" s="7">
        <v>349</v>
      </c>
      <c r="H193" s="14">
        <f t="shared" si="6"/>
        <v>349</v>
      </c>
      <c r="I193" s="14" t="str">
        <f t="shared" si="7"/>
        <v>May</v>
      </c>
      <c r="AH193" s="7"/>
      <c r="AI193" s="6"/>
    </row>
    <row r="194" spans="1:35" ht="15" customHeight="1">
      <c r="A194" s="2">
        <v>193</v>
      </c>
      <c r="B194" s="2" t="s">
        <v>288</v>
      </c>
      <c r="C194" s="3" t="s">
        <v>53</v>
      </c>
      <c r="D194" s="3" t="s">
        <v>10</v>
      </c>
      <c r="E194" s="3" t="s">
        <v>289</v>
      </c>
      <c r="F194" s="3">
        <v>1</v>
      </c>
      <c r="G194" s="4">
        <v>199</v>
      </c>
      <c r="H194" s="4">
        <f t="shared" ref="H194:H205" si="8">F194*G194</f>
        <v>199</v>
      </c>
      <c r="I194" s="4" t="str">
        <f t="shared" ref="I194:I205" si="9">TEXT(DATE(RIGHT(E194,4),MID(E194,4,2),LEFT(E194,2)),"MMM")</f>
        <v>May</v>
      </c>
      <c r="AH194" s="4"/>
      <c r="AI194" s="3"/>
    </row>
    <row r="195" spans="1:35" ht="15" customHeight="1">
      <c r="A195" s="5">
        <v>194</v>
      </c>
      <c r="B195" s="5" t="s">
        <v>288</v>
      </c>
      <c r="C195" s="6" t="s">
        <v>76</v>
      </c>
      <c r="D195" s="6" t="s">
        <v>11</v>
      </c>
      <c r="E195" s="6" t="s">
        <v>289</v>
      </c>
      <c r="F195" s="6">
        <v>1</v>
      </c>
      <c r="G195" s="7">
        <v>215</v>
      </c>
      <c r="H195" s="14">
        <f t="shared" si="8"/>
        <v>215</v>
      </c>
      <c r="I195" s="14" t="str">
        <f t="shared" si="9"/>
        <v>May</v>
      </c>
      <c r="AH195" s="7"/>
      <c r="AI195" s="6"/>
    </row>
    <row r="196" spans="1:35" ht="15" customHeight="1">
      <c r="A196" s="2">
        <v>195</v>
      </c>
      <c r="B196" s="2" t="s">
        <v>288</v>
      </c>
      <c r="C196" s="10" t="s">
        <v>68</v>
      </c>
      <c r="D196" s="3" t="s">
        <v>16</v>
      </c>
      <c r="E196" s="3" t="s">
        <v>289</v>
      </c>
      <c r="F196" s="3">
        <v>1</v>
      </c>
      <c r="G196" s="4">
        <v>149</v>
      </c>
      <c r="H196" s="4">
        <f t="shared" si="8"/>
        <v>149</v>
      </c>
      <c r="I196" s="4" t="str">
        <f t="shared" si="9"/>
        <v>May</v>
      </c>
      <c r="AH196" s="4"/>
      <c r="AI196" s="3"/>
    </row>
    <row r="197" spans="1:35" ht="15" customHeight="1">
      <c r="A197" s="5">
        <v>196</v>
      </c>
      <c r="B197" s="5" t="s">
        <v>290</v>
      </c>
      <c r="C197" s="6" t="s">
        <v>54</v>
      </c>
      <c r="D197" s="6" t="s">
        <v>19</v>
      </c>
      <c r="E197" s="6" t="s">
        <v>291</v>
      </c>
      <c r="F197" s="6">
        <v>2</v>
      </c>
      <c r="G197" s="7">
        <v>199</v>
      </c>
      <c r="H197" s="14">
        <f t="shared" si="8"/>
        <v>398</v>
      </c>
      <c r="I197" s="14" t="str">
        <f t="shared" si="9"/>
        <v>May</v>
      </c>
      <c r="AH197" s="7"/>
      <c r="AI197" s="6"/>
    </row>
    <row r="198" spans="1:35" ht="15" customHeight="1">
      <c r="A198" s="2">
        <v>197</v>
      </c>
      <c r="B198" s="2" t="s">
        <v>292</v>
      </c>
      <c r="C198" s="3" t="s">
        <v>25</v>
      </c>
      <c r="D198" s="3" t="s">
        <v>11</v>
      </c>
      <c r="E198" s="3" t="s">
        <v>293</v>
      </c>
      <c r="F198" s="3">
        <v>1</v>
      </c>
      <c r="G198" s="4">
        <v>249</v>
      </c>
      <c r="H198" s="4">
        <f t="shared" si="8"/>
        <v>249</v>
      </c>
      <c r="I198" s="4" t="str">
        <f t="shared" si="9"/>
        <v>May</v>
      </c>
      <c r="AH198" s="4"/>
      <c r="AI198" s="3"/>
    </row>
    <row r="199" spans="1:35" ht="23.9" customHeight="1">
      <c r="A199" s="5">
        <v>198</v>
      </c>
      <c r="B199" s="5" t="s">
        <v>294</v>
      </c>
      <c r="C199" s="9" t="s">
        <v>296</v>
      </c>
      <c r="D199" s="6" t="s">
        <v>16</v>
      </c>
      <c r="E199" s="6" t="s">
        <v>295</v>
      </c>
      <c r="F199" s="6">
        <v>1</v>
      </c>
      <c r="G199" s="7">
        <v>249</v>
      </c>
      <c r="H199" s="14">
        <f t="shared" si="8"/>
        <v>249</v>
      </c>
      <c r="I199" s="14" t="str">
        <f t="shared" si="9"/>
        <v>May</v>
      </c>
      <c r="AH199" s="7"/>
      <c r="AI199" s="6"/>
    </row>
    <row r="200" spans="1:35" ht="15" customHeight="1">
      <c r="A200" s="2">
        <v>199</v>
      </c>
      <c r="B200" s="2" t="s">
        <v>294</v>
      </c>
      <c r="C200" s="10" t="s">
        <v>91</v>
      </c>
      <c r="D200" s="3" t="s">
        <v>16</v>
      </c>
      <c r="E200" s="3" t="s">
        <v>295</v>
      </c>
      <c r="F200" s="3">
        <v>1</v>
      </c>
      <c r="G200" s="4">
        <v>249</v>
      </c>
      <c r="H200" s="4">
        <f t="shared" si="8"/>
        <v>249</v>
      </c>
      <c r="I200" s="4" t="str">
        <f t="shared" si="9"/>
        <v>May</v>
      </c>
      <c r="AH200" s="4"/>
      <c r="AI200" s="3"/>
    </row>
    <row r="201" spans="1:35" ht="15" customHeight="1">
      <c r="A201" s="5">
        <v>200</v>
      </c>
      <c r="B201" s="5" t="s">
        <v>294</v>
      </c>
      <c r="C201" s="6" t="s">
        <v>87</v>
      </c>
      <c r="D201" s="6" t="s">
        <v>11</v>
      </c>
      <c r="E201" s="6" t="s">
        <v>295</v>
      </c>
      <c r="F201" s="6">
        <v>1</v>
      </c>
      <c r="G201" s="7">
        <v>349</v>
      </c>
      <c r="H201" s="14">
        <f t="shared" si="8"/>
        <v>349</v>
      </c>
      <c r="I201" s="14" t="str">
        <f t="shared" si="9"/>
        <v>May</v>
      </c>
      <c r="AH201" s="7"/>
      <c r="AI201" s="6"/>
    </row>
    <row r="202" spans="1:35" ht="15" customHeight="1">
      <c r="A202" s="2">
        <v>201</v>
      </c>
      <c r="B202" s="2" t="s">
        <v>297</v>
      </c>
      <c r="C202" s="3" t="s">
        <v>18</v>
      </c>
      <c r="D202" s="3" t="s">
        <v>11</v>
      </c>
      <c r="E202" s="3" t="s">
        <v>298</v>
      </c>
      <c r="F202" s="3">
        <v>2</v>
      </c>
      <c r="G202" s="4">
        <v>349</v>
      </c>
      <c r="H202" s="4">
        <f t="shared" si="8"/>
        <v>698</v>
      </c>
      <c r="I202" s="4" t="str">
        <f t="shared" si="9"/>
        <v>May</v>
      </c>
      <c r="AH202" s="4"/>
      <c r="AI202" s="3"/>
    </row>
    <row r="203" spans="1:35" ht="15" customHeight="1">
      <c r="A203" s="5">
        <v>202</v>
      </c>
      <c r="B203" s="5" t="s">
        <v>297</v>
      </c>
      <c r="C203" s="6" t="s">
        <v>58</v>
      </c>
      <c r="D203" s="6" t="s">
        <v>11</v>
      </c>
      <c r="E203" s="6" t="s">
        <v>298</v>
      </c>
      <c r="F203" s="6">
        <v>1</v>
      </c>
      <c r="G203" s="7">
        <v>249</v>
      </c>
      <c r="H203" s="14">
        <f t="shared" si="8"/>
        <v>249</v>
      </c>
      <c r="I203" s="14" t="str">
        <f t="shared" si="9"/>
        <v>May</v>
      </c>
      <c r="AH203" s="7"/>
      <c r="AI203" s="6"/>
    </row>
    <row r="204" spans="1:35" ht="15" customHeight="1">
      <c r="A204" s="2">
        <v>203</v>
      </c>
      <c r="B204" s="2" t="s">
        <v>299</v>
      </c>
      <c r="C204" s="3" t="s">
        <v>46</v>
      </c>
      <c r="D204" s="3" t="s">
        <v>11</v>
      </c>
      <c r="E204" s="3" t="s">
        <v>300</v>
      </c>
      <c r="F204" s="3">
        <v>1</v>
      </c>
      <c r="G204" s="4">
        <v>275</v>
      </c>
      <c r="H204" s="4">
        <f t="shared" si="8"/>
        <v>275</v>
      </c>
      <c r="I204" s="4" t="str">
        <f t="shared" si="9"/>
        <v>May</v>
      </c>
      <c r="AH204" s="4"/>
      <c r="AI204" s="3"/>
    </row>
    <row r="205" spans="1:35" ht="15" customHeight="1">
      <c r="A205" s="5">
        <v>204</v>
      </c>
      <c r="B205" s="5" t="s">
        <v>301</v>
      </c>
      <c r="C205" s="6" t="s">
        <v>89</v>
      </c>
      <c r="D205" s="6" t="s">
        <v>10</v>
      </c>
      <c r="E205" s="6" t="s">
        <v>302</v>
      </c>
      <c r="F205" s="6">
        <v>1</v>
      </c>
      <c r="G205" s="7">
        <v>299</v>
      </c>
      <c r="H205" s="14">
        <f t="shared" si="8"/>
        <v>299</v>
      </c>
      <c r="I205" s="14" t="str">
        <f t="shared" si="9"/>
        <v>May</v>
      </c>
      <c r="AH205" s="7"/>
      <c r="AI205" s="6"/>
    </row>
  </sheetData>
  <pageMargins left="0.75" right="0.75" top="1" bottom="1" header="0.511811023622047" footer="0.511811023622047"/>
  <pageSetup paperSize="9" orientation="portrait" horizontalDpi="300" verticalDpi="300" r:id="rId9"/>
  <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tabSelected="1" zoomScale="60" zoomScaleNormal="60" workbookViewId="0">
      <selection activeCell="K26" sqref="K26"/>
    </sheetView>
  </sheetViews>
  <sheetFormatPr defaultColWidth="8.6328125" defaultRowHeight="14.5"/>
  <cols>
    <col min="1" max="1" width="5" customWidth="1"/>
    <col min="2" max="2" width="46" customWidth="1"/>
    <col min="3" max="3" width="13" customWidth="1"/>
    <col min="4" max="4" width="15" customWidth="1"/>
    <col min="5" max="8" width="14" customWidth="1"/>
    <col min="9" max="9" width="21.36328125" customWidth="1"/>
    <col min="10" max="10" width="13.08984375" customWidth="1"/>
    <col min="11" max="11" width="15.90625" customWidth="1"/>
    <col min="12" max="12" width="24.7265625" customWidth="1"/>
    <col min="15" max="15" width="33.90625" customWidth="1"/>
    <col min="16" max="16" width="11.54296875" customWidth="1"/>
    <col min="17" max="17" width="25" style="34" customWidth="1"/>
    <col min="18" max="19" width="8.6328125" customWidth="1"/>
  </cols>
  <sheetData>
    <row r="1" spans="1:18" ht="31.5" customHeight="1" thickBo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8" t="s">
        <v>6</v>
      </c>
      <c r="H1" s="8" t="s">
        <v>7</v>
      </c>
      <c r="I1" s="64" t="s">
        <v>497</v>
      </c>
      <c r="J1" s="1" t="s">
        <v>2</v>
      </c>
      <c r="K1" s="8" t="s">
        <v>6</v>
      </c>
      <c r="L1" s="8" t="s">
        <v>7</v>
      </c>
      <c r="O1" s="15" t="s">
        <v>8</v>
      </c>
      <c r="P1" s="16"/>
    </row>
    <row r="2" spans="1:18" ht="15" customHeight="1">
      <c r="A2" s="5">
        <v>1</v>
      </c>
      <c r="B2" s="6" t="s">
        <v>9</v>
      </c>
      <c r="C2" s="6" t="s">
        <v>10</v>
      </c>
      <c r="D2" s="6">
        <v>11</v>
      </c>
      <c r="E2" s="7">
        <v>175</v>
      </c>
      <c r="F2" s="6">
        <v>0</v>
      </c>
      <c r="G2" s="3">
        <f t="shared" ref="G2:G33" si="0">D2*E2</f>
        <v>1925</v>
      </c>
      <c r="H2" s="3">
        <f>G2/SUM(G$2:G$76)</f>
        <v>3.5516605166051658E-2</v>
      </c>
      <c r="I2" s="65" t="str">
        <f>IF(D2&lt;=QUARTILE($D$2:$D$76,1),"High Risk (Slow Mover)",IF(D2&lt;=MEDIAN($D$2:$D$76),"Medium Risk","Low Risk"))</f>
        <v>Low Risk</v>
      </c>
      <c r="J2" s="9" t="s">
        <v>11</v>
      </c>
      <c r="K2" s="3">
        <f>SUMIF($C$2:$C$76,"Bracelets",$G$2:$G$76)</f>
        <v>21850</v>
      </c>
      <c r="L2" s="6">
        <f>(K2/SUM(K$2:K$5))</f>
        <v>0.40313653136531363</v>
      </c>
      <c r="O2" s="17" t="s">
        <v>12</v>
      </c>
      <c r="P2" s="18">
        <f>MAX(E2:E76)</f>
        <v>550</v>
      </c>
    </row>
    <row r="3" spans="1:18" ht="15" customHeight="1">
      <c r="A3" s="5">
        <v>2</v>
      </c>
      <c r="B3" s="6" t="s">
        <v>13</v>
      </c>
      <c r="C3" s="6" t="s">
        <v>10</v>
      </c>
      <c r="D3" s="6">
        <v>3</v>
      </c>
      <c r="E3" s="7">
        <v>499</v>
      </c>
      <c r="F3" s="6">
        <v>0</v>
      </c>
      <c r="G3" s="3">
        <f t="shared" si="0"/>
        <v>1497</v>
      </c>
      <c r="H3" s="3">
        <f t="shared" ref="H3:H34" si="1">H2+(G3/SUM(G$2:G$76))</f>
        <v>6.313653136531365E-2</v>
      </c>
      <c r="I3" s="65" t="str">
        <f t="shared" ref="I3:I66" si="2">IF(D3&lt;=QUARTILE($D$2:$D$76,1),"High Risk (Slow Mover)",IF(D3&lt;=MEDIAN($D$2:$D$76),"Medium Risk","Low Risk"))</f>
        <v>Medium Risk</v>
      </c>
      <c r="J3" s="9" t="s">
        <v>10</v>
      </c>
      <c r="K3" s="3">
        <f>SUMIF($C$2:$C$76,"Earrings",$G$2:$G$76)</f>
        <v>20343</v>
      </c>
      <c r="L3" s="6">
        <f>L2+(K3/SUM(K$2:K$5))</f>
        <v>0.77846863468634686</v>
      </c>
      <c r="O3" s="17" t="s">
        <v>14</v>
      </c>
      <c r="P3" s="18">
        <f>MIN(E2:E76)</f>
        <v>50</v>
      </c>
    </row>
    <row r="4" spans="1:18" ht="15" customHeight="1">
      <c r="A4" s="5">
        <v>3</v>
      </c>
      <c r="B4" s="3" t="s">
        <v>15</v>
      </c>
      <c r="C4" s="3" t="s">
        <v>11</v>
      </c>
      <c r="D4" s="3">
        <v>4</v>
      </c>
      <c r="E4" s="4">
        <v>349</v>
      </c>
      <c r="F4" s="3">
        <v>1</v>
      </c>
      <c r="G4" s="3">
        <f t="shared" si="0"/>
        <v>1396</v>
      </c>
      <c r="H4" s="3">
        <f t="shared" si="1"/>
        <v>8.8892988929889297E-2</v>
      </c>
      <c r="I4" s="65" t="str">
        <f t="shared" si="2"/>
        <v>Low Risk</v>
      </c>
      <c r="J4" s="9" t="s">
        <v>16</v>
      </c>
      <c r="K4" s="3">
        <f>SUMIF($C$2:$C$76,"Rings",$G$2:$G$76)</f>
        <v>7793</v>
      </c>
      <c r="L4" s="6">
        <f>L3+(K4/SUM(K$2:K$5))</f>
        <v>0.92225092250922502</v>
      </c>
      <c r="O4" s="17" t="s">
        <v>17</v>
      </c>
      <c r="P4" s="18">
        <f>AVERAGE(E2:E76)</f>
        <v>251.34666666666666</v>
      </c>
    </row>
    <row r="5" spans="1:18" ht="15" customHeight="1">
      <c r="A5" s="5">
        <v>4</v>
      </c>
      <c r="B5" s="6" t="s">
        <v>18</v>
      </c>
      <c r="C5" s="6" t="s">
        <v>11</v>
      </c>
      <c r="D5" s="6">
        <v>4</v>
      </c>
      <c r="E5" s="7">
        <v>349</v>
      </c>
      <c r="F5" s="6">
        <v>0</v>
      </c>
      <c r="G5" s="3">
        <f t="shared" si="0"/>
        <v>1396</v>
      </c>
      <c r="H5" s="3">
        <f t="shared" si="1"/>
        <v>0.11464944649446494</v>
      </c>
      <c r="I5" s="65" t="str">
        <f t="shared" si="2"/>
        <v>Low Risk</v>
      </c>
      <c r="J5" s="9" t="s">
        <v>19</v>
      </c>
      <c r="K5" s="3">
        <f>SUMIF($C$2:$C$76,"Neckpieces",$G$2:$G$76)</f>
        <v>4214</v>
      </c>
      <c r="L5" s="6">
        <f>L4+(K5/SUM(K$2:K$5))</f>
        <v>0.99999999999999989</v>
      </c>
      <c r="O5" s="17" t="s">
        <v>20</v>
      </c>
      <c r="P5" s="18">
        <f>MAX(G2:G76)</f>
        <v>1925</v>
      </c>
    </row>
    <row r="6" spans="1:18" ht="15" customHeight="1">
      <c r="A6" s="5">
        <v>5</v>
      </c>
      <c r="B6" s="3" t="s">
        <v>21</v>
      </c>
      <c r="C6" s="3" t="s">
        <v>16</v>
      </c>
      <c r="D6" s="3">
        <v>7</v>
      </c>
      <c r="E6" s="4">
        <v>199</v>
      </c>
      <c r="F6" s="3">
        <v>0</v>
      </c>
      <c r="G6" s="3">
        <f t="shared" si="0"/>
        <v>1393</v>
      </c>
      <c r="H6" s="3">
        <f t="shared" si="1"/>
        <v>0.14035055350553505</v>
      </c>
      <c r="I6" s="65" t="str">
        <f t="shared" si="2"/>
        <v>Low Risk</v>
      </c>
      <c r="O6" s="17" t="s">
        <v>22</v>
      </c>
      <c r="P6" s="18">
        <f>MIN(G2:G76)</f>
        <v>149</v>
      </c>
    </row>
    <row r="7" spans="1:18" ht="15" customHeight="1">
      <c r="A7" s="5">
        <v>6</v>
      </c>
      <c r="B7" s="6" t="s">
        <v>23</v>
      </c>
      <c r="C7" s="6" t="s">
        <v>11</v>
      </c>
      <c r="D7" s="6">
        <v>3</v>
      </c>
      <c r="E7" s="7">
        <v>449</v>
      </c>
      <c r="F7" s="6">
        <v>0</v>
      </c>
      <c r="G7" s="3">
        <f t="shared" si="0"/>
        <v>1347</v>
      </c>
      <c r="H7" s="3">
        <f t="shared" si="1"/>
        <v>0.16520295202952029</v>
      </c>
      <c r="I7" s="65" t="str">
        <f t="shared" si="2"/>
        <v>Medium Risk</v>
      </c>
      <c r="O7" s="17" t="s">
        <v>24</v>
      </c>
      <c r="P7" s="18">
        <f>AVERAGE(G2:G76)</f>
        <v>722.66666666666663</v>
      </c>
    </row>
    <row r="8" spans="1:18" ht="15" customHeight="1">
      <c r="A8" s="5">
        <v>7</v>
      </c>
      <c r="B8" s="6" t="s">
        <v>25</v>
      </c>
      <c r="C8" s="6" t="s">
        <v>11</v>
      </c>
      <c r="D8" s="6">
        <v>5</v>
      </c>
      <c r="E8" s="7">
        <v>249</v>
      </c>
      <c r="F8" s="6">
        <v>0</v>
      </c>
      <c r="G8" s="3">
        <f t="shared" si="0"/>
        <v>1245</v>
      </c>
      <c r="H8" s="3">
        <f t="shared" si="1"/>
        <v>0.18817343173431733</v>
      </c>
      <c r="I8" s="65" t="str">
        <f t="shared" si="2"/>
        <v>Low Risk</v>
      </c>
      <c r="J8" s="45"/>
      <c r="O8" s="17" t="s">
        <v>26</v>
      </c>
      <c r="P8" s="18">
        <f>COUNT(E2:E76)</f>
        <v>75</v>
      </c>
    </row>
    <row r="9" spans="1:18" ht="15" customHeight="1">
      <c r="A9" s="5">
        <v>8</v>
      </c>
      <c r="B9" s="6" t="s">
        <v>27</v>
      </c>
      <c r="C9" s="6" t="s">
        <v>10</v>
      </c>
      <c r="D9" s="6">
        <v>7</v>
      </c>
      <c r="E9" s="7">
        <v>175</v>
      </c>
      <c r="F9" s="6">
        <v>0</v>
      </c>
      <c r="G9" s="3">
        <f t="shared" si="0"/>
        <v>1225</v>
      </c>
      <c r="H9" s="3">
        <f t="shared" si="1"/>
        <v>0.21077490774907748</v>
      </c>
      <c r="I9" s="65" t="str">
        <f t="shared" si="2"/>
        <v>Low Risk</v>
      </c>
      <c r="J9" s="45"/>
      <c r="O9" s="17" t="s">
        <v>28</v>
      </c>
      <c r="P9" s="18">
        <f>SUM(D2:D76)</f>
        <v>229</v>
      </c>
    </row>
    <row r="10" spans="1:18" ht="15" customHeight="1">
      <c r="A10" s="5">
        <v>9</v>
      </c>
      <c r="B10" s="6" t="s">
        <v>29</v>
      </c>
      <c r="C10" s="6" t="s">
        <v>11</v>
      </c>
      <c r="D10" s="6">
        <v>3</v>
      </c>
      <c r="E10" s="7">
        <v>399</v>
      </c>
      <c r="F10" s="6">
        <v>0</v>
      </c>
      <c r="G10" s="3">
        <f t="shared" si="0"/>
        <v>1197</v>
      </c>
      <c r="H10" s="3">
        <f t="shared" si="1"/>
        <v>0.23285977859778598</v>
      </c>
      <c r="I10" s="65" t="str">
        <f t="shared" si="2"/>
        <v>Medium Risk</v>
      </c>
      <c r="J10" s="45"/>
      <c r="O10" s="17" t="s">
        <v>30</v>
      </c>
      <c r="P10" s="18">
        <f>SUM(G2:G76)</f>
        <v>54200</v>
      </c>
    </row>
    <row r="11" spans="1:18" ht="15" customHeight="1">
      <c r="A11" s="5">
        <v>10</v>
      </c>
      <c r="B11" s="6" t="s">
        <v>31</v>
      </c>
      <c r="C11" s="6" t="s">
        <v>11</v>
      </c>
      <c r="D11" s="6">
        <v>3</v>
      </c>
      <c r="E11" s="7">
        <v>399</v>
      </c>
      <c r="F11" s="6">
        <v>0</v>
      </c>
      <c r="G11" s="3">
        <f t="shared" si="0"/>
        <v>1197</v>
      </c>
      <c r="H11" s="3">
        <f t="shared" si="1"/>
        <v>0.25494464944649448</v>
      </c>
      <c r="I11" s="65" t="str">
        <f t="shared" si="2"/>
        <v>Medium Risk</v>
      </c>
      <c r="J11" s="45"/>
    </row>
    <row r="12" spans="1:18" ht="15" customHeight="1">
      <c r="A12" s="5">
        <v>11</v>
      </c>
      <c r="B12" s="3" t="s">
        <v>32</v>
      </c>
      <c r="C12" s="3" t="s">
        <v>11</v>
      </c>
      <c r="D12" s="3">
        <v>4</v>
      </c>
      <c r="E12" s="4">
        <v>299</v>
      </c>
      <c r="F12" s="3">
        <v>0</v>
      </c>
      <c r="G12" s="3">
        <f t="shared" si="0"/>
        <v>1196</v>
      </c>
      <c r="H12" s="3">
        <f t="shared" si="1"/>
        <v>0.27701107011070114</v>
      </c>
      <c r="I12" s="65" t="str">
        <f t="shared" si="2"/>
        <v>Low Risk</v>
      </c>
      <c r="O12" s="33"/>
      <c r="P12" s="33"/>
      <c r="R12" s="33"/>
    </row>
    <row r="13" spans="1:18" ht="15" customHeight="1">
      <c r="A13" s="5">
        <v>12</v>
      </c>
      <c r="B13" s="3" t="s">
        <v>33</v>
      </c>
      <c r="C13" s="3" t="s">
        <v>11</v>
      </c>
      <c r="D13" s="3">
        <v>3</v>
      </c>
      <c r="E13" s="4">
        <v>375</v>
      </c>
      <c r="F13" s="3">
        <v>0</v>
      </c>
      <c r="G13" s="3">
        <f t="shared" si="0"/>
        <v>1125</v>
      </c>
      <c r="H13" s="3">
        <f t="shared" si="1"/>
        <v>0.29776752767527681</v>
      </c>
      <c r="I13" s="65" t="str">
        <f t="shared" si="2"/>
        <v>Medium Risk</v>
      </c>
      <c r="O13" s="32"/>
      <c r="P13" s="32"/>
      <c r="R13" s="32"/>
    </row>
    <row r="14" spans="1:18" ht="15" customHeight="1">
      <c r="A14" s="5">
        <v>13</v>
      </c>
      <c r="B14" s="3" t="s">
        <v>34</v>
      </c>
      <c r="C14" s="3" t="s">
        <v>16</v>
      </c>
      <c r="D14" s="3">
        <v>5</v>
      </c>
      <c r="E14" s="4">
        <v>225</v>
      </c>
      <c r="F14" s="3">
        <v>0</v>
      </c>
      <c r="G14" s="3">
        <f t="shared" si="0"/>
        <v>1125</v>
      </c>
      <c r="H14" s="3">
        <f t="shared" si="1"/>
        <v>0.31852398523985248</v>
      </c>
      <c r="I14" s="65" t="str">
        <f t="shared" si="2"/>
        <v>Low Risk</v>
      </c>
      <c r="O14" s="32"/>
      <c r="P14" s="32"/>
      <c r="R14" s="32"/>
    </row>
    <row r="15" spans="1:18" ht="15" customHeight="1">
      <c r="A15" s="5">
        <v>14</v>
      </c>
      <c r="B15" s="3" t="s">
        <v>35</v>
      </c>
      <c r="C15" s="3" t="s">
        <v>11</v>
      </c>
      <c r="D15" s="3">
        <v>2</v>
      </c>
      <c r="E15" s="4">
        <v>550</v>
      </c>
      <c r="F15" s="3">
        <v>0</v>
      </c>
      <c r="G15" s="3">
        <f t="shared" si="0"/>
        <v>1100</v>
      </c>
      <c r="H15" s="3">
        <f t="shared" si="1"/>
        <v>0.338819188191882</v>
      </c>
      <c r="I15" s="65" t="str">
        <f t="shared" si="2"/>
        <v>High Risk (Slow Mover)</v>
      </c>
      <c r="O15" s="32"/>
      <c r="P15" s="32"/>
      <c r="R15" s="32"/>
    </row>
    <row r="16" spans="1:18" ht="15" customHeight="1">
      <c r="A16" s="5">
        <v>15</v>
      </c>
      <c r="B16" s="6" t="s">
        <v>36</v>
      </c>
      <c r="C16" s="6" t="s">
        <v>11</v>
      </c>
      <c r="D16" s="6">
        <v>3</v>
      </c>
      <c r="E16" s="7">
        <v>349</v>
      </c>
      <c r="F16" s="6">
        <v>0</v>
      </c>
      <c r="G16" s="3">
        <f t="shared" si="0"/>
        <v>1047</v>
      </c>
      <c r="H16" s="3">
        <f t="shared" si="1"/>
        <v>0.35813653136531376</v>
      </c>
      <c r="I16" s="65" t="str">
        <f t="shared" si="2"/>
        <v>Medium Risk</v>
      </c>
      <c r="O16" s="32"/>
      <c r="P16" s="32"/>
      <c r="R16" s="32"/>
    </row>
    <row r="17" spans="1:9" ht="15" customHeight="1">
      <c r="A17" s="5">
        <v>16</v>
      </c>
      <c r="B17" s="6" t="s">
        <v>37</v>
      </c>
      <c r="C17" s="6" t="s">
        <v>16</v>
      </c>
      <c r="D17" s="6">
        <v>4</v>
      </c>
      <c r="E17" s="7">
        <v>249</v>
      </c>
      <c r="F17" s="6">
        <v>0</v>
      </c>
      <c r="G17" s="3">
        <f t="shared" si="0"/>
        <v>996</v>
      </c>
      <c r="H17" s="3">
        <f t="shared" si="1"/>
        <v>0.37651291512915142</v>
      </c>
      <c r="I17" s="65" t="str">
        <f t="shared" si="2"/>
        <v>Low Risk</v>
      </c>
    </row>
    <row r="18" spans="1:9" ht="15" customHeight="1">
      <c r="A18" s="5">
        <v>17</v>
      </c>
      <c r="B18" s="6" t="s">
        <v>38</v>
      </c>
      <c r="C18" s="6" t="s">
        <v>11</v>
      </c>
      <c r="D18" s="6">
        <v>3</v>
      </c>
      <c r="E18" s="7">
        <v>299</v>
      </c>
      <c r="F18" s="6">
        <v>1</v>
      </c>
      <c r="G18" s="3">
        <f t="shared" si="0"/>
        <v>897</v>
      </c>
      <c r="H18" s="3">
        <f t="shared" si="1"/>
        <v>0.3930627306273064</v>
      </c>
      <c r="I18" s="65" t="str">
        <f t="shared" si="2"/>
        <v>Medium Risk</v>
      </c>
    </row>
    <row r="19" spans="1:9" ht="15" customHeight="1">
      <c r="A19" s="5">
        <v>18</v>
      </c>
      <c r="B19" s="6" t="s">
        <v>39</v>
      </c>
      <c r="C19" s="6" t="s">
        <v>11</v>
      </c>
      <c r="D19" s="6">
        <v>3</v>
      </c>
      <c r="E19" s="7">
        <v>299</v>
      </c>
      <c r="F19" s="6">
        <v>0</v>
      </c>
      <c r="G19" s="3">
        <f t="shared" si="0"/>
        <v>897</v>
      </c>
      <c r="H19" s="3">
        <f t="shared" si="1"/>
        <v>0.40961254612546139</v>
      </c>
      <c r="I19" s="65" t="str">
        <f t="shared" si="2"/>
        <v>Medium Risk</v>
      </c>
    </row>
    <row r="20" spans="1:9" ht="15" customHeight="1">
      <c r="A20" s="5">
        <v>19</v>
      </c>
      <c r="B20" s="6" t="s">
        <v>40</v>
      </c>
      <c r="C20" s="6" t="s">
        <v>10</v>
      </c>
      <c r="D20" s="6">
        <v>3</v>
      </c>
      <c r="E20" s="7">
        <v>299</v>
      </c>
      <c r="F20" s="6">
        <v>0</v>
      </c>
      <c r="G20" s="3">
        <f t="shared" si="0"/>
        <v>897</v>
      </c>
      <c r="H20" s="3">
        <f t="shared" si="1"/>
        <v>0.42616236162361637</v>
      </c>
      <c r="I20" s="65" t="str">
        <f t="shared" si="2"/>
        <v>Medium Risk</v>
      </c>
    </row>
    <row r="21" spans="1:9" ht="15" customHeight="1">
      <c r="A21" s="5">
        <v>20</v>
      </c>
      <c r="B21" s="3" t="s">
        <v>41</v>
      </c>
      <c r="C21" s="3" t="s">
        <v>10</v>
      </c>
      <c r="D21" s="3">
        <v>3</v>
      </c>
      <c r="E21" s="4">
        <v>299</v>
      </c>
      <c r="F21" s="3">
        <v>0</v>
      </c>
      <c r="G21" s="3">
        <f t="shared" si="0"/>
        <v>897</v>
      </c>
      <c r="H21" s="3">
        <f t="shared" si="1"/>
        <v>0.44271217712177136</v>
      </c>
      <c r="I21" s="65" t="str">
        <f t="shared" si="2"/>
        <v>Medium Risk</v>
      </c>
    </row>
    <row r="22" spans="1:9" ht="15" customHeight="1">
      <c r="A22" s="5">
        <v>21</v>
      </c>
      <c r="B22" s="6" t="s">
        <v>42</v>
      </c>
      <c r="C22" s="6" t="s">
        <v>10</v>
      </c>
      <c r="D22" s="6">
        <v>5</v>
      </c>
      <c r="E22" s="7">
        <v>175</v>
      </c>
      <c r="F22" s="6">
        <v>0</v>
      </c>
      <c r="G22" s="3">
        <f t="shared" si="0"/>
        <v>875</v>
      </c>
      <c r="H22" s="3">
        <f t="shared" si="1"/>
        <v>0.45885608856088572</v>
      </c>
      <c r="I22" s="65" t="str">
        <f t="shared" si="2"/>
        <v>Low Risk</v>
      </c>
    </row>
    <row r="23" spans="1:9" ht="15" customHeight="1">
      <c r="A23" s="5">
        <v>22</v>
      </c>
      <c r="B23" s="6" t="s">
        <v>43</v>
      </c>
      <c r="C23" s="6" t="s">
        <v>10</v>
      </c>
      <c r="D23" s="6">
        <v>5</v>
      </c>
      <c r="E23" s="7">
        <v>175</v>
      </c>
      <c r="F23" s="6">
        <v>0</v>
      </c>
      <c r="G23" s="3">
        <f t="shared" si="0"/>
        <v>875</v>
      </c>
      <c r="H23" s="3">
        <f t="shared" si="1"/>
        <v>0.47500000000000009</v>
      </c>
      <c r="I23" s="65" t="str">
        <f t="shared" si="2"/>
        <v>Low Risk</v>
      </c>
    </row>
    <row r="24" spans="1:9" ht="15" customHeight="1">
      <c r="A24" s="5">
        <v>23</v>
      </c>
      <c r="B24" s="6" t="s">
        <v>44</v>
      </c>
      <c r="C24" s="6" t="s">
        <v>10</v>
      </c>
      <c r="D24" s="6">
        <v>5</v>
      </c>
      <c r="E24" s="7">
        <v>175</v>
      </c>
      <c r="F24" s="6">
        <v>0</v>
      </c>
      <c r="G24" s="3">
        <f t="shared" si="0"/>
        <v>875</v>
      </c>
      <c r="H24" s="3">
        <f t="shared" si="1"/>
        <v>0.49114391143911446</v>
      </c>
      <c r="I24" s="65" t="str">
        <f t="shared" si="2"/>
        <v>Low Risk</v>
      </c>
    </row>
    <row r="25" spans="1:9" ht="15" customHeight="1">
      <c r="A25" s="5">
        <v>24</v>
      </c>
      <c r="B25" s="6" t="s">
        <v>45</v>
      </c>
      <c r="C25" s="6" t="s">
        <v>16</v>
      </c>
      <c r="D25" s="6">
        <v>3</v>
      </c>
      <c r="E25" s="7">
        <v>279</v>
      </c>
      <c r="F25" s="6">
        <v>0</v>
      </c>
      <c r="G25" s="3">
        <f t="shared" si="0"/>
        <v>837</v>
      </c>
      <c r="H25" s="3">
        <f t="shared" si="1"/>
        <v>0.50658671586715875</v>
      </c>
      <c r="I25" s="65" t="str">
        <f t="shared" si="2"/>
        <v>Medium Risk</v>
      </c>
    </row>
    <row r="26" spans="1:9" ht="15" customHeight="1">
      <c r="A26" s="5">
        <v>25</v>
      </c>
      <c r="B26" s="6" t="s">
        <v>46</v>
      </c>
      <c r="C26" s="6" t="s">
        <v>11</v>
      </c>
      <c r="D26" s="6">
        <v>3</v>
      </c>
      <c r="E26" s="7">
        <v>275</v>
      </c>
      <c r="F26" s="6">
        <v>0</v>
      </c>
      <c r="G26" s="3">
        <f t="shared" si="0"/>
        <v>825</v>
      </c>
      <c r="H26" s="3">
        <f t="shared" si="1"/>
        <v>0.52180811808118088</v>
      </c>
      <c r="I26" s="65" t="str">
        <f t="shared" si="2"/>
        <v>Medium Risk</v>
      </c>
    </row>
    <row r="27" spans="1:9" ht="15" customHeight="1">
      <c r="A27" s="5">
        <v>26</v>
      </c>
      <c r="B27" s="6" t="s">
        <v>47</v>
      </c>
      <c r="C27" s="6" t="s">
        <v>10</v>
      </c>
      <c r="D27" s="6">
        <v>3</v>
      </c>
      <c r="E27" s="7">
        <v>275</v>
      </c>
      <c r="F27" s="6">
        <v>0</v>
      </c>
      <c r="G27" s="3">
        <f t="shared" si="0"/>
        <v>825</v>
      </c>
      <c r="H27" s="3">
        <f t="shared" si="1"/>
        <v>0.53702952029520301</v>
      </c>
      <c r="I27" s="65" t="str">
        <f t="shared" si="2"/>
        <v>Medium Risk</v>
      </c>
    </row>
    <row r="28" spans="1:9" ht="15" customHeight="1">
      <c r="A28" s="5">
        <v>27</v>
      </c>
      <c r="B28" s="6" t="s">
        <v>48</v>
      </c>
      <c r="C28" s="6" t="s">
        <v>10</v>
      </c>
      <c r="D28" s="6">
        <v>3</v>
      </c>
      <c r="E28" s="7">
        <v>275</v>
      </c>
      <c r="F28" s="6">
        <v>0</v>
      </c>
      <c r="G28" s="3">
        <f t="shared" si="0"/>
        <v>825</v>
      </c>
      <c r="H28" s="3">
        <f t="shared" si="1"/>
        <v>0.55225092250922514</v>
      </c>
      <c r="I28" s="65" t="str">
        <f t="shared" si="2"/>
        <v>Medium Risk</v>
      </c>
    </row>
    <row r="29" spans="1:9" ht="15" customHeight="1">
      <c r="A29" s="5">
        <v>28</v>
      </c>
      <c r="B29" s="3" t="s">
        <v>49</v>
      </c>
      <c r="C29" s="3" t="s">
        <v>10</v>
      </c>
      <c r="D29" s="3">
        <v>3</v>
      </c>
      <c r="E29" s="4">
        <v>275</v>
      </c>
      <c r="F29" s="3">
        <v>0</v>
      </c>
      <c r="G29" s="3">
        <f t="shared" si="0"/>
        <v>825</v>
      </c>
      <c r="H29" s="3">
        <f t="shared" si="1"/>
        <v>0.56747232472324727</v>
      </c>
      <c r="I29" s="65" t="str">
        <f t="shared" si="2"/>
        <v>Medium Risk</v>
      </c>
    </row>
    <row r="30" spans="1:9" ht="15" customHeight="1">
      <c r="A30" s="5">
        <v>29</v>
      </c>
      <c r="B30" s="3" t="s">
        <v>50</v>
      </c>
      <c r="C30" s="3" t="s">
        <v>19</v>
      </c>
      <c r="D30" s="3">
        <v>3</v>
      </c>
      <c r="E30" s="4">
        <v>275</v>
      </c>
      <c r="F30" s="3">
        <v>0</v>
      </c>
      <c r="G30" s="3">
        <f t="shared" si="0"/>
        <v>825</v>
      </c>
      <c r="H30" s="3">
        <f t="shared" si="1"/>
        <v>0.5826937269372694</v>
      </c>
      <c r="I30" s="65" t="str">
        <f t="shared" si="2"/>
        <v>Medium Risk</v>
      </c>
    </row>
    <row r="31" spans="1:9" ht="15" customHeight="1">
      <c r="A31" s="5">
        <v>30</v>
      </c>
      <c r="B31" s="3" t="s">
        <v>51</v>
      </c>
      <c r="C31" s="3" t="s">
        <v>11</v>
      </c>
      <c r="D31" s="3">
        <v>2</v>
      </c>
      <c r="E31" s="4">
        <v>399</v>
      </c>
      <c r="F31" s="3">
        <v>0</v>
      </c>
      <c r="G31" s="3">
        <f t="shared" si="0"/>
        <v>798</v>
      </c>
      <c r="H31" s="3">
        <f t="shared" si="1"/>
        <v>0.59741697416974171</v>
      </c>
      <c r="I31" s="65" t="str">
        <f t="shared" si="2"/>
        <v>High Risk (Slow Mover)</v>
      </c>
    </row>
    <row r="32" spans="1:9" ht="15" customHeight="1">
      <c r="A32" s="5">
        <v>31</v>
      </c>
      <c r="B32" s="3" t="s">
        <v>52</v>
      </c>
      <c r="C32" s="3" t="s">
        <v>10</v>
      </c>
      <c r="D32" s="3">
        <v>4</v>
      </c>
      <c r="E32" s="4">
        <v>199</v>
      </c>
      <c r="F32" s="3">
        <v>0</v>
      </c>
      <c r="G32" s="3">
        <f t="shared" si="0"/>
        <v>796</v>
      </c>
      <c r="H32" s="3">
        <f t="shared" si="1"/>
        <v>0.6121033210332103</v>
      </c>
      <c r="I32" s="65" t="str">
        <f t="shared" si="2"/>
        <v>Low Risk</v>
      </c>
    </row>
    <row r="33" spans="1:9" ht="15" customHeight="1">
      <c r="A33" s="5">
        <v>32</v>
      </c>
      <c r="B33" s="6" t="s">
        <v>53</v>
      </c>
      <c r="C33" s="6" t="s">
        <v>10</v>
      </c>
      <c r="D33" s="6">
        <v>4</v>
      </c>
      <c r="E33" s="7">
        <v>199</v>
      </c>
      <c r="F33" s="6">
        <v>0</v>
      </c>
      <c r="G33" s="3">
        <f t="shared" si="0"/>
        <v>796</v>
      </c>
      <c r="H33" s="3">
        <f t="shared" si="1"/>
        <v>0.62678966789667889</v>
      </c>
      <c r="I33" s="65" t="str">
        <f t="shared" si="2"/>
        <v>Low Risk</v>
      </c>
    </row>
    <row r="34" spans="1:9" ht="15" customHeight="1">
      <c r="A34" s="5">
        <v>33</v>
      </c>
      <c r="B34" s="6" t="s">
        <v>54</v>
      </c>
      <c r="C34" s="6" t="s">
        <v>19</v>
      </c>
      <c r="D34" s="6">
        <v>4</v>
      </c>
      <c r="E34" s="7">
        <v>199</v>
      </c>
      <c r="F34" s="6">
        <v>0</v>
      </c>
      <c r="G34" s="3">
        <f t="shared" ref="G34:G65" si="3">D34*E34</f>
        <v>796</v>
      </c>
      <c r="H34" s="3">
        <f t="shared" si="1"/>
        <v>0.64147601476014748</v>
      </c>
      <c r="I34" s="65" t="str">
        <f t="shared" si="2"/>
        <v>Low Risk</v>
      </c>
    </row>
    <row r="35" spans="1:9" ht="15" customHeight="1">
      <c r="A35" s="5">
        <v>34</v>
      </c>
      <c r="B35" s="3" t="s">
        <v>55</v>
      </c>
      <c r="C35" s="3" t="s">
        <v>10</v>
      </c>
      <c r="D35" s="3">
        <v>8</v>
      </c>
      <c r="E35" s="4">
        <v>99</v>
      </c>
      <c r="F35" s="3">
        <v>0</v>
      </c>
      <c r="G35" s="3">
        <f t="shared" si="3"/>
        <v>792</v>
      </c>
      <c r="H35" s="3">
        <f t="shared" ref="H35:H66" si="4">H34+(G35/SUM(G$2:G$76))</f>
        <v>0.65608856088560874</v>
      </c>
      <c r="I35" s="65" t="str">
        <f t="shared" si="2"/>
        <v>Low Risk</v>
      </c>
    </row>
    <row r="36" spans="1:9" ht="15" customHeight="1">
      <c r="A36" s="5">
        <v>35</v>
      </c>
      <c r="B36" s="6" t="s">
        <v>56</v>
      </c>
      <c r="C36" s="6" t="s">
        <v>11</v>
      </c>
      <c r="D36" s="6">
        <v>3</v>
      </c>
      <c r="E36" s="7">
        <v>249</v>
      </c>
      <c r="F36" s="6">
        <v>0</v>
      </c>
      <c r="G36" s="3">
        <f t="shared" si="3"/>
        <v>747</v>
      </c>
      <c r="H36" s="3">
        <f t="shared" si="4"/>
        <v>0.66987084870848701</v>
      </c>
      <c r="I36" s="65" t="str">
        <f t="shared" si="2"/>
        <v>Medium Risk</v>
      </c>
    </row>
    <row r="37" spans="1:9" ht="15" customHeight="1">
      <c r="A37" s="5">
        <v>36</v>
      </c>
      <c r="B37" s="3" t="s">
        <v>57</v>
      </c>
      <c r="C37" s="3" t="s">
        <v>11</v>
      </c>
      <c r="D37" s="3">
        <v>3</v>
      </c>
      <c r="E37" s="4">
        <v>249</v>
      </c>
      <c r="F37" s="3">
        <v>0</v>
      </c>
      <c r="G37" s="3">
        <f t="shared" si="3"/>
        <v>747</v>
      </c>
      <c r="H37" s="3">
        <f t="shared" si="4"/>
        <v>0.68365313653136528</v>
      </c>
      <c r="I37" s="65" t="str">
        <f t="shared" si="2"/>
        <v>Medium Risk</v>
      </c>
    </row>
    <row r="38" spans="1:9" ht="15" customHeight="1">
      <c r="A38" s="5">
        <v>37</v>
      </c>
      <c r="B38" s="3" t="s">
        <v>58</v>
      </c>
      <c r="C38" s="3" t="s">
        <v>11</v>
      </c>
      <c r="D38" s="3">
        <v>3</v>
      </c>
      <c r="E38" s="4">
        <v>249</v>
      </c>
      <c r="F38" s="3">
        <v>0</v>
      </c>
      <c r="G38" s="3">
        <f t="shared" si="3"/>
        <v>747</v>
      </c>
      <c r="H38" s="3">
        <f t="shared" si="4"/>
        <v>0.69743542435424355</v>
      </c>
      <c r="I38" s="65" t="str">
        <f t="shared" si="2"/>
        <v>Medium Risk</v>
      </c>
    </row>
    <row r="39" spans="1:9" ht="15" customHeight="1">
      <c r="A39" s="5">
        <v>38</v>
      </c>
      <c r="B39" s="3" t="s">
        <v>59</v>
      </c>
      <c r="C39" s="3" t="s">
        <v>10</v>
      </c>
      <c r="D39" s="3">
        <v>3</v>
      </c>
      <c r="E39" s="4">
        <v>249</v>
      </c>
      <c r="F39" s="3">
        <v>0</v>
      </c>
      <c r="G39" s="3">
        <f t="shared" si="3"/>
        <v>747</v>
      </c>
      <c r="H39" s="3">
        <f t="shared" si="4"/>
        <v>0.71121771217712182</v>
      </c>
      <c r="I39" s="65" t="str">
        <f t="shared" si="2"/>
        <v>Medium Risk</v>
      </c>
    </row>
    <row r="40" spans="1:9" ht="15" customHeight="1">
      <c r="A40" s="5">
        <v>39</v>
      </c>
      <c r="B40" s="3" t="s">
        <v>60</v>
      </c>
      <c r="C40" s="3" t="s">
        <v>10</v>
      </c>
      <c r="D40" s="3">
        <v>6</v>
      </c>
      <c r="E40" s="4">
        <v>120</v>
      </c>
      <c r="F40" s="3">
        <v>0</v>
      </c>
      <c r="G40" s="3">
        <f t="shared" si="3"/>
        <v>720</v>
      </c>
      <c r="H40" s="3">
        <f t="shared" si="4"/>
        <v>0.72450184501845027</v>
      </c>
      <c r="I40" s="65" t="str">
        <f t="shared" si="2"/>
        <v>Low Risk</v>
      </c>
    </row>
    <row r="41" spans="1:9" ht="15" customHeight="1">
      <c r="A41" s="5">
        <v>40</v>
      </c>
      <c r="B41" s="6" t="s">
        <v>61</v>
      </c>
      <c r="C41" s="6" t="s">
        <v>11</v>
      </c>
      <c r="D41" s="6">
        <v>2</v>
      </c>
      <c r="E41" s="7">
        <v>350</v>
      </c>
      <c r="F41" s="6">
        <v>0</v>
      </c>
      <c r="G41" s="3">
        <f t="shared" si="3"/>
        <v>700</v>
      </c>
      <c r="H41" s="3">
        <f t="shared" si="4"/>
        <v>0.73741697416974183</v>
      </c>
      <c r="I41" s="65" t="str">
        <f t="shared" si="2"/>
        <v>High Risk (Slow Mover)</v>
      </c>
    </row>
    <row r="42" spans="1:9" ht="15" customHeight="1">
      <c r="A42" s="5">
        <v>41</v>
      </c>
      <c r="B42" s="6" t="s">
        <v>62</v>
      </c>
      <c r="C42" s="6" t="s">
        <v>19</v>
      </c>
      <c r="D42" s="6">
        <v>4</v>
      </c>
      <c r="E42" s="7">
        <v>175</v>
      </c>
      <c r="F42" s="6">
        <v>0</v>
      </c>
      <c r="G42" s="3">
        <f t="shared" si="3"/>
        <v>700</v>
      </c>
      <c r="H42" s="3">
        <f t="shared" si="4"/>
        <v>0.75033210332103339</v>
      </c>
      <c r="I42" s="65" t="str">
        <f t="shared" si="2"/>
        <v>Low Risk</v>
      </c>
    </row>
    <row r="43" spans="1:9" ht="15" customHeight="1">
      <c r="A43" s="5">
        <v>42</v>
      </c>
      <c r="B43" s="3" t="s">
        <v>63</v>
      </c>
      <c r="C43" s="3" t="s">
        <v>11</v>
      </c>
      <c r="D43" s="3">
        <v>2</v>
      </c>
      <c r="E43" s="4">
        <v>349</v>
      </c>
      <c r="F43" s="3">
        <v>0</v>
      </c>
      <c r="G43" s="3">
        <f t="shared" si="3"/>
        <v>698</v>
      </c>
      <c r="H43" s="3">
        <f t="shared" si="4"/>
        <v>0.76321033210332123</v>
      </c>
      <c r="I43" s="65" t="str">
        <f t="shared" si="2"/>
        <v>High Risk (Slow Mover)</v>
      </c>
    </row>
    <row r="44" spans="1:9" ht="15" customHeight="1">
      <c r="A44" s="5">
        <v>43</v>
      </c>
      <c r="B44" s="3" t="s">
        <v>64</v>
      </c>
      <c r="C44" s="3" t="s">
        <v>10</v>
      </c>
      <c r="D44" s="3">
        <v>3</v>
      </c>
      <c r="E44" s="4">
        <v>225</v>
      </c>
      <c r="F44" s="3">
        <v>0</v>
      </c>
      <c r="G44" s="3">
        <f t="shared" si="3"/>
        <v>675</v>
      </c>
      <c r="H44" s="3">
        <f t="shared" si="4"/>
        <v>0.77566420664206659</v>
      </c>
      <c r="I44" s="65" t="str">
        <f t="shared" si="2"/>
        <v>Medium Risk</v>
      </c>
    </row>
    <row r="45" spans="1:9" ht="15" customHeight="1">
      <c r="A45" s="5">
        <v>44</v>
      </c>
      <c r="B45" s="3" t="s">
        <v>65</v>
      </c>
      <c r="C45" s="3" t="s">
        <v>10</v>
      </c>
      <c r="D45" s="3">
        <v>2</v>
      </c>
      <c r="E45" s="4">
        <v>299</v>
      </c>
      <c r="F45" s="3">
        <v>0</v>
      </c>
      <c r="G45" s="3">
        <f t="shared" si="3"/>
        <v>598</v>
      </c>
      <c r="H45" s="3">
        <f t="shared" si="4"/>
        <v>0.78669741697416995</v>
      </c>
      <c r="I45" s="65" t="str">
        <f t="shared" si="2"/>
        <v>High Risk (Slow Mover)</v>
      </c>
    </row>
    <row r="46" spans="1:9" ht="15" customHeight="1">
      <c r="A46" s="5">
        <v>45</v>
      </c>
      <c r="B46" s="3" t="s">
        <v>66</v>
      </c>
      <c r="C46" s="3" t="s">
        <v>10</v>
      </c>
      <c r="D46" s="3">
        <v>3</v>
      </c>
      <c r="E46" s="4">
        <v>199</v>
      </c>
      <c r="F46" s="3">
        <v>0</v>
      </c>
      <c r="G46" s="3">
        <f t="shared" si="3"/>
        <v>597</v>
      </c>
      <c r="H46" s="3">
        <f t="shared" si="4"/>
        <v>0.79771217712177145</v>
      </c>
      <c r="I46" s="65" t="str">
        <f t="shared" si="2"/>
        <v>Medium Risk</v>
      </c>
    </row>
    <row r="47" spans="1:9" ht="15" customHeight="1">
      <c r="A47" s="5">
        <v>46</v>
      </c>
      <c r="B47" s="6" t="s">
        <v>67</v>
      </c>
      <c r="C47" s="6" t="s">
        <v>19</v>
      </c>
      <c r="D47" s="6">
        <v>3</v>
      </c>
      <c r="E47" s="7">
        <v>199</v>
      </c>
      <c r="F47" s="6">
        <v>0</v>
      </c>
      <c r="G47" s="3">
        <f t="shared" si="3"/>
        <v>597</v>
      </c>
      <c r="H47" s="3">
        <f t="shared" si="4"/>
        <v>0.80872693726937295</v>
      </c>
      <c r="I47" s="65" t="str">
        <f t="shared" si="2"/>
        <v>Medium Risk</v>
      </c>
    </row>
    <row r="48" spans="1:9" ht="15" customHeight="1">
      <c r="A48" s="5">
        <v>47</v>
      </c>
      <c r="B48" s="9" t="s">
        <v>68</v>
      </c>
      <c r="C48" s="6" t="s">
        <v>16</v>
      </c>
      <c r="D48" s="6">
        <v>2</v>
      </c>
      <c r="E48" s="7">
        <v>275</v>
      </c>
      <c r="F48" s="6">
        <v>0</v>
      </c>
      <c r="G48" s="3">
        <f t="shared" si="3"/>
        <v>550</v>
      </c>
      <c r="H48" s="3">
        <f t="shared" si="4"/>
        <v>0.81887453874538774</v>
      </c>
      <c r="I48" s="65" t="str">
        <f t="shared" si="2"/>
        <v>High Risk (Slow Mover)</v>
      </c>
    </row>
    <row r="49" spans="1:9" ht="15" customHeight="1">
      <c r="A49" s="5">
        <v>48</v>
      </c>
      <c r="B49" s="6" t="s">
        <v>69</v>
      </c>
      <c r="C49" s="6" t="s">
        <v>10</v>
      </c>
      <c r="D49" s="6">
        <v>4</v>
      </c>
      <c r="E49" s="7">
        <v>125</v>
      </c>
      <c r="F49" s="6">
        <v>0</v>
      </c>
      <c r="G49" s="3">
        <f t="shared" si="3"/>
        <v>500</v>
      </c>
      <c r="H49" s="3">
        <f t="shared" si="4"/>
        <v>0.82809963099631023</v>
      </c>
      <c r="I49" s="65" t="str">
        <f t="shared" si="2"/>
        <v>Low Risk</v>
      </c>
    </row>
    <row r="50" spans="1:9" ht="15" customHeight="1">
      <c r="A50" s="5">
        <v>49</v>
      </c>
      <c r="B50" s="6" t="s">
        <v>70</v>
      </c>
      <c r="C50" s="6" t="s">
        <v>19</v>
      </c>
      <c r="D50" s="6">
        <v>2</v>
      </c>
      <c r="E50" s="7">
        <v>250</v>
      </c>
      <c r="F50" s="6">
        <v>0</v>
      </c>
      <c r="G50" s="3">
        <f t="shared" si="3"/>
        <v>500</v>
      </c>
      <c r="H50" s="3">
        <f t="shared" si="4"/>
        <v>0.83732472324723273</v>
      </c>
      <c r="I50" s="65" t="str">
        <f t="shared" si="2"/>
        <v>High Risk (Slow Mover)</v>
      </c>
    </row>
    <row r="51" spans="1:9" ht="15" customHeight="1">
      <c r="A51" s="5">
        <v>50</v>
      </c>
      <c r="B51" s="3" t="s">
        <v>71</v>
      </c>
      <c r="C51" s="3" t="s">
        <v>11</v>
      </c>
      <c r="D51" s="3">
        <v>2</v>
      </c>
      <c r="E51" s="4">
        <v>249</v>
      </c>
      <c r="F51" s="3">
        <v>0</v>
      </c>
      <c r="G51" s="3">
        <f t="shared" si="3"/>
        <v>498</v>
      </c>
      <c r="H51" s="3">
        <f t="shared" si="4"/>
        <v>0.8465129151291515</v>
      </c>
      <c r="I51" s="65" t="str">
        <f t="shared" si="2"/>
        <v>High Risk (Slow Mover)</v>
      </c>
    </row>
    <row r="52" spans="1:9" ht="15" customHeight="1">
      <c r="A52" s="5">
        <v>51</v>
      </c>
      <c r="B52" s="9" t="s">
        <v>72</v>
      </c>
      <c r="C52" s="6" t="s">
        <v>16</v>
      </c>
      <c r="D52" s="6">
        <v>2</v>
      </c>
      <c r="E52" s="7">
        <v>249</v>
      </c>
      <c r="F52" s="6">
        <v>0</v>
      </c>
      <c r="G52" s="3">
        <f t="shared" si="3"/>
        <v>498</v>
      </c>
      <c r="H52" s="3">
        <f t="shared" si="4"/>
        <v>0.85570110701107027</v>
      </c>
      <c r="I52" s="65" t="str">
        <f t="shared" si="2"/>
        <v>High Risk (Slow Mover)</v>
      </c>
    </row>
    <row r="53" spans="1:9" ht="15" customHeight="1">
      <c r="A53" s="5">
        <v>52</v>
      </c>
      <c r="B53" s="10" t="s">
        <v>73</v>
      </c>
      <c r="C53" s="3" t="s">
        <v>16</v>
      </c>
      <c r="D53" s="3">
        <v>2</v>
      </c>
      <c r="E53" s="4">
        <v>249</v>
      </c>
      <c r="F53" s="3">
        <v>0</v>
      </c>
      <c r="G53" s="3">
        <f t="shared" si="3"/>
        <v>498</v>
      </c>
      <c r="H53" s="3">
        <f t="shared" si="4"/>
        <v>0.86488929889298904</v>
      </c>
      <c r="I53" s="65" t="str">
        <f t="shared" si="2"/>
        <v>High Risk (Slow Mover)</v>
      </c>
    </row>
    <row r="54" spans="1:9" ht="15" customHeight="1">
      <c r="A54" s="5">
        <v>53</v>
      </c>
      <c r="B54" s="6" t="s">
        <v>74</v>
      </c>
      <c r="C54" s="6" t="s">
        <v>11</v>
      </c>
      <c r="D54" s="6">
        <v>1</v>
      </c>
      <c r="E54" s="7">
        <v>475</v>
      </c>
      <c r="F54" s="6">
        <v>0</v>
      </c>
      <c r="G54" s="3">
        <f t="shared" si="3"/>
        <v>475</v>
      </c>
      <c r="H54" s="3">
        <f t="shared" si="4"/>
        <v>0.87365313653136545</v>
      </c>
      <c r="I54" s="65" t="str">
        <f t="shared" si="2"/>
        <v>High Risk (Slow Mover)</v>
      </c>
    </row>
    <row r="55" spans="1:9" ht="15" customHeight="1">
      <c r="A55" s="5">
        <v>54</v>
      </c>
      <c r="B55" s="10" t="s">
        <v>75</v>
      </c>
      <c r="C55" s="3" t="s">
        <v>16</v>
      </c>
      <c r="D55" s="3">
        <v>3</v>
      </c>
      <c r="E55" s="4">
        <v>150</v>
      </c>
      <c r="F55" s="3">
        <v>0</v>
      </c>
      <c r="G55" s="3">
        <f t="shared" si="3"/>
        <v>450</v>
      </c>
      <c r="H55" s="3">
        <f t="shared" si="4"/>
        <v>0.88195571955719576</v>
      </c>
      <c r="I55" s="65" t="str">
        <f t="shared" si="2"/>
        <v>Medium Risk</v>
      </c>
    </row>
    <row r="56" spans="1:9" ht="15" customHeight="1">
      <c r="A56" s="5">
        <v>55</v>
      </c>
      <c r="B56" s="3" t="s">
        <v>76</v>
      </c>
      <c r="C56" s="3" t="s">
        <v>11</v>
      </c>
      <c r="D56" s="3">
        <v>2</v>
      </c>
      <c r="E56" s="4">
        <v>215</v>
      </c>
      <c r="F56" s="3">
        <v>0</v>
      </c>
      <c r="G56" s="3">
        <f t="shared" si="3"/>
        <v>430</v>
      </c>
      <c r="H56" s="3">
        <f t="shared" si="4"/>
        <v>0.88988929889298907</v>
      </c>
      <c r="I56" s="65" t="str">
        <f t="shared" si="2"/>
        <v>High Risk (Slow Mover)</v>
      </c>
    </row>
    <row r="57" spans="1:9" ht="15" customHeight="1">
      <c r="A57" s="5">
        <v>56</v>
      </c>
      <c r="B57" s="3" t="s">
        <v>77</v>
      </c>
      <c r="C57" s="3" t="s">
        <v>11</v>
      </c>
      <c r="D57" s="3">
        <v>2</v>
      </c>
      <c r="E57" s="4">
        <v>199</v>
      </c>
      <c r="F57" s="3">
        <v>0</v>
      </c>
      <c r="G57" s="3">
        <f t="shared" si="3"/>
        <v>398</v>
      </c>
      <c r="H57" s="3">
        <f t="shared" si="4"/>
        <v>0.89723247232472336</v>
      </c>
      <c r="I57" s="65" t="str">
        <f t="shared" si="2"/>
        <v>High Risk (Slow Mover)</v>
      </c>
    </row>
    <row r="58" spans="1:9" ht="15" customHeight="1">
      <c r="A58" s="5">
        <v>57</v>
      </c>
      <c r="B58" s="3" t="s">
        <v>78</v>
      </c>
      <c r="C58" s="3" t="s">
        <v>11</v>
      </c>
      <c r="D58" s="3">
        <v>2</v>
      </c>
      <c r="E58" s="4">
        <v>199</v>
      </c>
      <c r="F58" s="3">
        <v>0</v>
      </c>
      <c r="G58" s="3">
        <f t="shared" si="3"/>
        <v>398</v>
      </c>
      <c r="H58" s="3">
        <f t="shared" si="4"/>
        <v>0.90457564575645766</v>
      </c>
      <c r="I58" s="65" t="str">
        <f t="shared" si="2"/>
        <v>High Risk (Slow Mover)</v>
      </c>
    </row>
    <row r="59" spans="1:9" ht="15" customHeight="1">
      <c r="A59" s="5">
        <v>58</v>
      </c>
      <c r="B59" s="3" t="s">
        <v>79</v>
      </c>
      <c r="C59" s="3" t="s">
        <v>19</v>
      </c>
      <c r="D59" s="3">
        <v>2</v>
      </c>
      <c r="E59" s="4">
        <v>199</v>
      </c>
      <c r="F59" s="3">
        <v>0</v>
      </c>
      <c r="G59" s="3">
        <f t="shared" si="3"/>
        <v>398</v>
      </c>
      <c r="H59" s="3">
        <f t="shared" si="4"/>
        <v>0.91191881918819195</v>
      </c>
      <c r="I59" s="65" t="str">
        <f t="shared" si="2"/>
        <v>High Risk (Slow Mover)</v>
      </c>
    </row>
    <row r="60" spans="1:9" ht="15" customHeight="1">
      <c r="A60" s="5">
        <v>59</v>
      </c>
      <c r="B60" s="3" t="s">
        <v>80</v>
      </c>
      <c r="C60" s="3" t="s">
        <v>19</v>
      </c>
      <c r="D60" s="3">
        <v>2</v>
      </c>
      <c r="E60" s="4">
        <v>199</v>
      </c>
      <c r="F60" s="3">
        <v>0</v>
      </c>
      <c r="G60" s="3">
        <f t="shared" si="3"/>
        <v>398</v>
      </c>
      <c r="H60" s="3">
        <f t="shared" si="4"/>
        <v>0.91926199261992625</v>
      </c>
      <c r="I60" s="65" t="str">
        <f t="shared" si="2"/>
        <v>High Risk (Slow Mover)</v>
      </c>
    </row>
    <row r="61" spans="1:9" ht="15" customHeight="1">
      <c r="A61" s="5">
        <v>60</v>
      </c>
      <c r="B61" s="6" t="s">
        <v>81</v>
      </c>
      <c r="C61" s="6" t="s">
        <v>10</v>
      </c>
      <c r="D61" s="6">
        <v>3</v>
      </c>
      <c r="E61" s="7">
        <v>125</v>
      </c>
      <c r="F61" s="6">
        <v>0</v>
      </c>
      <c r="G61" s="3">
        <f t="shared" si="3"/>
        <v>375</v>
      </c>
      <c r="H61" s="3">
        <f t="shared" si="4"/>
        <v>0.92618081180811818</v>
      </c>
      <c r="I61" s="65" t="str">
        <f t="shared" si="2"/>
        <v>Medium Risk</v>
      </c>
    </row>
    <row r="62" spans="1:9" ht="15" customHeight="1">
      <c r="A62" s="5">
        <v>61</v>
      </c>
      <c r="B62" s="3" t="s">
        <v>82</v>
      </c>
      <c r="C62" s="3" t="s">
        <v>10</v>
      </c>
      <c r="D62" s="3">
        <v>2</v>
      </c>
      <c r="E62" s="4">
        <v>180</v>
      </c>
      <c r="F62" s="3">
        <v>0</v>
      </c>
      <c r="G62" s="3">
        <f t="shared" si="3"/>
        <v>360</v>
      </c>
      <c r="H62" s="3">
        <f t="shared" si="4"/>
        <v>0.9328228782287824</v>
      </c>
      <c r="I62" s="65" t="str">
        <f t="shared" si="2"/>
        <v>High Risk (Slow Mover)</v>
      </c>
    </row>
    <row r="63" spans="1:9" ht="15" customHeight="1">
      <c r="A63" s="5">
        <v>62</v>
      </c>
      <c r="B63" s="3" t="s">
        <v>83</v>
      </c>
      <c r="C63" s="3" t="s">
        <v>10</v>
      </c>
      <c r="D63" s="3">
        <v>1</v>
      </c>
      <c r="E63" s="4">
        <v>350</v>
      </c>
      <c r="F63" s="3">
        <v>0</v>
      </c>
      <c r="G63" s="3">
        <f t="shared" si="3"/>
        <v>350</v>
      </c>
      <c r="H63" s="3">
        <f t="shared" si="4"/>
        <v>0.93928044280442813</v>
      </c>
      <c r="I63" s="65" t="str">
        <f t="shared" si="2"/>
        <v>High Risk (Slow Mover)</v>
      </c>
    </row>
    <row r="64" spans="1:9" ht="15" customHeight="1">
      <c r="A64" s="5">
        <v>63</v>
      </c>
      <c r="B64" s="3" t="s">
        <v>84</v>
      </c>
      <c r="C64" s="3" t="s">
        <v>10</v>
      </c>
      <c r="D64" s="3">
        <v>2</v>
      </c>
      <c r="E64" s="4">
        <v>175</v>
      </c>
      <c r="F64" s="3">
        <v>0</v>
      </c>
      <c r="G64" s="3">
        <f t="shared" si="3"/>
        <v>350</v>
      </c>
      <c r="H64" s="3">
        <f t="shared" si="4"/>
        <v>0.94573800738007385</v>
      </c>
      <c r="I64" s="65" t="str">
        <f t="shared" si="2"/>
        <v>High Risk (Slow Mover)</v>
      </c>
    </row>
    <row r="65" spans="1:9" ht="15" customHeight="1">
      <c r="A65" s="5">
        <v>64</v>
      </c>
      <c r="B65" s="3" t="s">
        <v>85</v>
      </c>
      <c r="C65" s="3" t="s">
        <v>10</v>
      </c>
      <c r="D65" s="3">
        <v>2</v>
      </c>
      <c r="E65" s="4">
        <v>175</v>
      </c>
      <c r="F65" s="3">
        <v>0</v>
      </c>
      <c r="G65" s="3">
        <f t="shared" si="3"/>
        <v>350</v>
      </c>
      <c r="H65" s="3">
        <f t="shared" si="4"/>
        <v>0.95219557195571958</v>
      </c>
      <c r="I65" s="65" t="str">
        <f t="shared" si="2"/>
        <v>High Risk (Slow Mover)</v>
      </c>
    </row>
    <row r="66" spans="1:9" ht="15" customHeight="1">
      <c r="A66" s="5">
        <v>65</v>
      </c>
      <c r="B66" s="10" t="s">
        <v>86</v>
      </c>
      <c r="C66" s="3" t="s">
        <v>16</v>
      </c>
      <c r="D66" s="3">
        <v>2</v>
      </c>
      <c r="E66" s="4">
        <v>175</v>
      </c>
      <c r="F66" s="3">
        <v>0</v>
      </c>
      <c r="G66" s="3">
        <f t="shared" ref="G66:G76" si="5">D66*E66</f>
        <v>350</v>
      </c>
      <c r="H66" s="3">
        <f t="shared" si="4"/>
        <v>0.9586531365313653</v>
      </c>
      <c r="I66" s="65" t="str">
        <f t="shared" si="2"/>
        <v>High Risk (Slow Mover)</v>
      </c>
    </row>
    <row r="67" spans="1:9" ht="15" customHeight="1">
      <c r="A67" s="5">
        <v>66</v>
      </c>
      <c r="B67" s="3" t="s">
        <v>87</v>
      </c>
      <c r="C67" s="3" t="s">
        <v>11</v>
      </c>
      <c r="D67" s="3">
        <v>1</v>
      </c>
      <c r="E67" s="4">
        <v>349</v>
      </c>
      <c r="F67" s="3">
        <v>0</v>
      </c>
      <c r="G67" s="3">
        <f t="shared" si="5"/>
        <v>349</v>
      </c>
      <c r="H67" s="3">
        <f t="shared" ref="H67:H76" si="6">H66+(G67/SUM(G$2:G$76))</f>
        <v>0.96509225092250917</v>
      </c>
      <c r="I67" s="65" t="str">
        <f t="shared" ref="I67:I76" si="7">IF(D67&lt;=QUARTILE($D$2:$D$76,1),"High Risk (Slow Mover)",IF(D67&lt;=MEDIAN($D$2:$D$76),"Medium Risk","Low Risk"))</f>
        <v>High Risk (Slow Mover)</v>
      </c>
    </row>
    <row r="68" spans="1:9" ht="15" customHeight="1">
      <c r="A68" s="5">
        <v>67</v>
      </c>
      <c r="B68" s="6" t="s">
        <v>88</v>
      </c>
      <c r="C68" s="6" t="s">
        <v>10</v>
      </c>
      <c r="D68" s="6">
        <v>1</v>
      </c>
      <c r="E68" s="7">
        <v>299</v>
      </c>
      <c r="F68" s="6">
        <v>0</v>
      </c>
      <c r="G68" s="3">
        <f t="shared" si="5"/>
        <v>299</v>
      </c>
      <c r="H68" s="3">
        <f t="shared" si="6"/>
        <v>0.97060885608856085</v>
      </c>
      <c r="I68" s="65" t="str">
        <f t="shared" si="7"/>
        <v>High Risk (Slow Mover)</v>
      </c>
    </row>
    <row r="69" spans="1:9" ht="15" customHeight="1">
      <c r="A69" s="5">
        <v>68</v>
      </c>
      <c r="B69" s="3" t="s">
        <v>89</v>
      </c>
      <c r="C69" s="3" t="s">
        <v>10</v>
      </c>
      <c r="D69" s="3">
        <v>1</v>
      </c>
      <c r="E69" s="4">
        <v>299</v>
      </c>
      <c r="F69" s="3">
        <v>0</v>
      </c>
      <c r="G69" s="3">
        <f t="shared" si="5"/>
        <v>299</v>
      </c>
      <c r="H69" s="3">
        <f t="shared" si="6"/>
        <v>0.97612546125461253</v>
      </c>
      <c r="I69" s="65" t="str">
        <f t="shared" si="7"/>
        <v>High Risk (Slow Mover)</v>
      </c>
    </row>
    <row r="70" spans="1:9" ht="15" customHeight="1">
      <c r="A70" s="5">
        <v>69</v>
      </c>
      <c r="B70" s="9" t="s">
        <v>90</v>
      </c>
      <c r="C70" s="6" t="s">
        <v>16</v>
      </c>
      <c r="D70" s="6">
        <v>1</v>
      </c>
      <c r="E70" s="7">
        <v>249</v>
      </c>
      <c r="F70" s="6">
        <v>0</v>
      </c>
      <c r="G70" s="3">
        <f t="shared" si="5"/>
        <v>249</v>
      </c>
      <c r="H70" s="3">
        <f t="shared" si="6"/>
        <v>0.98071955719557191</v>
      </c>
      <c r="I70" s="65" t="str">
        <f t="shared" si="7"/>
        <v>High Risk (Slow Mover)</v>
      </c>
    </row>
    <row r="71" spans="1:9" ht="15" customHeight="1">
      <c r="A71" s="5">
        <v>70</v>
      </c>
      <c r="B71" s="10" t="s">
        <v>91</v>
      </c>
      <c r="C71" s="3" t="s">
        <v>16</v>
      </c>
      <c r="D71" s="3">
        <v>1</v>
      </c>
      <c r="E71" s="4">
        <v>249</v>
      </c>
      <c r="F71" s="3">
        <v>0</v>
      </c>
      <c r="G71" s="3">
        <f t="shared" si="5"/>
        <v>249</v>
      </c>
      <c r="H71" s="3">
        <f t="shared" si="6"/>
        <v>0.9853136531365313</v>
      </c>
      <c r="I71" s="65" t="str">
        <f t="shared" si="7"/>
        <v>High Risk (Slow Mover)</v>
      </c>
    </row>
    <row r="72" spans="1:9" ht="15" customHeight="1">
      <c r="A72" s="5">
        <v>71</v>
      </c>
      <c r="B72" s="6" t="s">
        <v>92</v>
      </c>
      <c r="C72" s="6" t="s">
        <v>10</v>
      </c>
      <c r="D72" s="6">
        <v>2</v>
      </c>
      <c r="E72" s="7">
        <v>99</v>
      </c>
      <c r="F72" s="6">
        <v>0</v>
      </c>
      <c r="G72" s="3">
        <f t="shared" si="5"/>
        <v>198</v>
      </c>
      <c r="H72" s="3">
        <f t="shared" si="6"/>
        <v>0.98896678966789664</v>
      </c>
      <c r="I72" s="65" t="str">
        <f t="shared" si="7"/>
        <v>High Risk (Slow Mover)</v>
      </c>
    </row>
    <row r="73" spans="1:9" ht="15" customHeight="1">
      <c r="A73" s="5">
        <v>72</v>
      </c>
      <c r="B73" s="3" t="s">
        <v>93</v>
      </c>
      <c r="C73" s="3" t="s">
        <v>16</v>
      </c>
      <c r="D73" s="3">
        <v>3</v>
      </c>
      <c r="E73" s="4">
        <v>50</v>
      </c>
      <c r="F73" s="3">
        <v>0</v>
      </c>
      <c r="G73" s="3">
        <f t="shared" si="5"/>
        <v>150</v>
      </c>
      <c r="H73" s="3">
        <f t="shared" si="6"/>
        <v>0.99173431734317341</v>
      </c>
      <c r="I73" s="65" t="str">
        <f t="shared" si="7"/>
        <v>Medium Risk</v>
      </c>
    </row>
    <row r="74" spans="1:9" ht="15" customHeight="1">
      <c r="A74" s="5">
        <v>73</v>
      </c>
      <c r="B74" s="9" t="s">
        <v>94</v>
      </c>
      <c r="C74" s="6" t="s">
        <v>16</v>
      </c>
      <c r="D74" s="6">
        <v>2</v>
      </c>
      <c r="E74" s="7">
        <v>75</v>
      </c>
      <c r="F74" s="6">
        <v>0</v>
      </c>
      <c r="G74" s="3">
        <f t="shared" si="5"/>
        <v>150</v>
      </c>
      <c r="H74" s="3">
        <f t="shared" si="6"/>
        <v>0.99450184501845018</v>
      </c>
      <c r="I74" s="65" t="str">
        <f t="shared" si="7"/>
        <v>High Risk (Slow Mover)</v>
      </c>
    </row>
    <row r="75" spans="1:9" ht="12.5" customHeight="1">
      <c r="A75" s="5">
        <v>74</v>
      </c>
      <c r="B75" s="6" t="s">
        <v>95</v>
      </c>
      <c r="C75" s="6" t="s">
        <v>16</v>
      </c>
      <c r="D75" s="6">
        <v>1</v>
      </c>
      <c r="E75" s="7">
        <v>149</v>
      </c>
      <c r="F75" s="6">
        <v>0</v>
      </c>
      <c r="G75" s="3">
        <f t="shared" si="5"/>
        <v>149</v>
      </c>
      <c r="H75" s="3">
        <f t="shared" si="6"/>
        <v>0.99725092250922509</v>
      </c>
      <c r="I75" s="65" t="str">
        <f t="shared" si="7"/>
        <v>High Risk (Slow Mover)</v>
      </c>
    </row>
    <row r="76" spans="1:9" ht="15" customHeight="1">
      <c r="A76" s="5">
        <v>75</v>
      </c>
      <c r="B76" s="10" t="s">
        <v>68</v>
      </c>
      <c r="C76" s="3" t="s">
        <v>16</v>
      </c>
      <c r="D76" s="3">
        <v>1</v>
      </c>
      <c r="E76" s="4">
        <v>149</v>
      </c>
      <c r="F76" s="3">
        <v>0</v>
      </c>
      <c r="G76" s="3">
        <f t="shared" si="5"/>
        <v>149</v>
      </c>
      <c r="H76" s="3">
        <f t="shared" si="6"/>
        <v>1</v>
      </c>
      <c r="I76" s="65" t="str">
        <f t="shared" si="7"/>
        <v>High Risk (Slow Mover)</v>
      </c>
    </row>
    <row r="77" spans="1:9">
      <c r="I77" s="66"/>
    </row>
    <row r="78" spans="1:9">
      <c r="I78" s="66"/>
    </row>
    <row r="79" spans="1:9">
      <c r="I79" s="66"/>
    </row>
    <row r="80" spans="1:9">
      <c r="I80" s="66"/>
    </row>
    <row r="81" spans="9:9">
      <c r="I81" s="66"/>
    </row>
    <row r="82" spans="9:9">
      <c r="I82" s="66"/>
    </row>
    <row r="83" spans="9:9">
      <c r="I83" s="66"/>
    </row>
    <row r="84" spans="9:9">
      <c r="I84" s="66"/>
    </row>
    <row r="85" spans="9:9">
      <c r="I85" s="66"/>
    </row>
    <row r="86" spans="9:9">
      <c r="I86" s="66"/>
    </row>
    <row r="87" spans="9:9">
      <c r="I87" s="66"/>
    </row>
    <row r="88" spans="9:9">
      <c r="I88" s="66"/>
    </row>
    <row r="89" spans="9:9">
      <c r="I89" s="66"/>
    </row>
    <row r="90" spans="9:9">
      <c r="I90" s="66"/>
    </row>
    <row r="91" spans="9:9">
      <c r="I91" s="66"/>
    </row>
    <row r="92" spans="9:9">
      <c r="I92" s="66"/>
    </row>
    <row r="93" spans="9:9">
      <c r="I93" s="66"/>
    </row>
    <row r="94" spans="9:9">
      <c r="I94" s="66"/>
    </row>
    <row r="95" spans="9:9">
      <c r="I95" s="66"/>
    </row>
    <row r="96" spans="9:9">
      <c r="I96" s="66"/>
    </row>
    <row r="97" spans="9:9">
      <c r="I97" s="66"/>
    </row>
    <row r="98" spans="9:9">
      <c r="I98" s="66"/>
    </row>
    <row r="99" spans="9:9">
      <c r="I99" s="66"/>
    </row>
    <row r="100" spans="9:9">
      <c r="I100" s="66"/>
    </row>
    <row r="101" spans="9:9">
      <c r="I101" s="66"/>
    </row>
    <row r="102" spans="9:9">
      <c r="I102" s="66"/>
    </row>
    <row r="103" spans="9:9">
      <c r="I103" s="66"/>
    </row>
    <row r="104" spans="9:9">
      <c r="I104" s="66"/>
    </row>
    <row r="105" spans="9:9">
      <c r="I105" s="66"/>
    </row>
    <row r="106" spans="9:9">
      <c r="I106" s="66"/>
    </row>
    <row r="107" spans="9:9">
      <c r="I107" s="66"/>
    </row>
    <row r="108" spans="9:9">
      <c r="I108" s="66"/>
    </row>
    <row r="109" spans="9:9">
      <c r="I109" s="66"/>
    </row>
    <row r="110" spans="9:9">
      <c r="I110" s="66"/>
    </row>
    <row r="111" spans="9:9">
      <c r="I111" s="66"/>
    </row>
    <row r="112" spans="9:9">
      <c r="I112" s="66"/>
    </row>
    <row r="113" spans="9:9">
      <c r="I113" s="66"/>
    </row>
    <row r="114" spans="9:9">
      <c r="I114" s="66"/>
    </row>
    <row r="115" spans="9:9">
      <c r="I115" s="66"/>
    </row>
    <row r="116" spans="9:9">
      <c r="I116" s="66"/>
    </row>
    <row r="117" spans="9:9">
      <c r="I117" s="66"/>
    </row>
    <row r="118" spans="9:9">
      <c r="I118" s="66"/>
    </row>
    <row r="119" spans="9:9">
      <c r="I119" s="66"/>
    </row>
    <row r="120" spans="9:9">
      <c r="I120" s="66"/>
    </row>
    <row r="121" spans="9:9">
      <c r="I121" s="66"/>
    </row>
    <row r="122" spans="9:9">
      <c r="I122" s="66"/>
    </row>
    <row r="123" spans="9:9">
      <c r="I123" s="66"/>
    </row>
    <row r="124" spans="9:9">
      <c r="I124" s="66"/>
    </row>
    <row r="125" spans="9:9">
      <c r="I125" s="66"/>
    </row>
    <row r="126" spans="9:9">
      <c r="I126" s="66"/>
    </row>
    <row r="127" spans="9:9">
      <c r="I127" s="66"/>
    </row>
    <row r="128" spans="9:9">
      <c r="I128" s="66"/>
    </row>
    <row r="129" spans="9:9">
      <c r="I129" s="66"/>
    </row>
    <row r="130" spans="9:9">
      <c r="I130" s="66"/>
    </row>
    <row r="131" spans="9:9">
      <c r="I131" s="66"/>
    </row>
    <row r="132" spans="9:9">
      <c r="I132" s="66"/>
    </row>
    <row r="133" spans="9:9">
      <c r="I133" s="66"/>
    </row>
    <row r="134" spans="9:9">
      <c r="I134" s="66"/>
    </row>
    <row r="135" spans="9:9">
      <c r="I135" s="66"/>
    </row>
    <row r="136" spans="9:9">
      <c r="I136" s="66"/>
    </row>
    <row r="137" spans="9:9">
      <c r="I137" s="66"/>
    </row>
    <row r="138" spans="9:9">
      <c r="I138" s="66"/>
    </row>
    <row r="139" spans="9:9">
      <c r="I139" s="66"/>
    </row>
    <row r="140" spans="9:9">
      <c r="I140" s="66"/>
    </row>
    <row r="141" spans="9:9">
      <c r="I141" s="66"/>
    </row>
    <row r="142" spans="9:9">
      <c r="I142" s="66"/>
    </row>
    <row r="143" spans="9:9">
      <c r="I143" s="66"/>
    </row>
    <row r="144" spans="9:9">
      <c r="I144" s="66"/>
    </row>
    <row r="145" spans="9:9">
      <c r="I145" s="66"/>
    </row>
    <row r="146" spans="9:9">
      <c r="I146" s="66"/>
    </row>
    <row r="147" spans="9:9">
      <c r="I147" s="66"/>
    </row>
    <row r="148" spans="9:9">
      <c r="I148" s="66"/>
    </row>
    <row r="149" spans="9:9">
      <c r="I149" s="66"/>
    </row>
    <row r="150" spans="9:9">
      <c r="I150" s="66"/>
    </row>
    <row r="151" spans="9:9">
      <c r="I151" s="66"/>
    </row>
    <row r="152" spans="9:9">
      <c r="I152" s="66"/>
    </row>
    <row r="153" spans="9:9">
      <c r="I153" s="66"/>
    </row>
    <row r="154" spans="9:9">
      <c r="I154" s="66"/>
    </row>
    <row r="155" spans="9:9">
      <c r="I155" s="66"/>
    </row>
    <row r="156" spans="9:9">
      <c r="I156" s="66"/>
    </row>
    <row r="157" spans="9:9">
      <c r="I157" s="66"/>
    </row>
    <row r="158" spans="9:9">
      <c r="I158" s="66"/>
    </row>
    <row r="159" spans="9:9">
      <c r="I159" s="66"/>
    </row>
    <row r="160" spans="9:9">
      <c r="I160" s="66"/>
    </row>
    <row r="161" spans="9:9">
      <c r="I161" s="66"/>
    </row>
    <row r="162" spans="9:9">
      <c r="I162" s="66"/>
    </row>
    <row r="163" spans="9:9">
      <c r="I163" s="66"/>
    </row>
    <row r="164" spans="9:9">
      <c r="I164" s="66"/>
    </row>
    <row r="165" spans="9:9">
      <c r="I165" s="66"/>
    </row>
    <row r="166" spans="9:9">
      <c r="I166" s="66"/>
    </row>
    <row r="167" spans="9:9">
      <c r="I167" s="66"/>
    </row>
    <row r="168" spans="9:9">
      <c r="I168" s="66"/>
    </row>
    <row r="169" spans="9:9">
      <c r="I169" s="66"/>
    </row>
    <row r="170" spans="9:9">
      <c r="I170" s="66"/>
    </row>
    <row r="171" spans="9:9">
      <c r="I171" s="66"/>
    </row>
    <row r="172" spans="9:9">
      <c r="I172" s="66"/>
    </row>
    <row r="173" spans="9:9">
      <c r="I173" s="66"/>
    </row>
    <row r="174" spans="9:9">
      <c r="I174" s="66"/>
    </row>
    <row r="175" spans="9:9">
      <c r="I175" s="66"/>
    </row>
    <row r="176" spans="9:9">
      <c r="I176" s="66"/>
    </row>
    <row r="177" spans="9:9">
      <c r="I177" s="66"/>
    </row>
    <row r="178" spans="9:9">
      <c r="I178" s="66"/>
    </row>
    <row r="179" spans="9:9">
      <c r="I179" s="66"/>
    </row>
    <row r="180" spans="9:9">
      <c r="I180" s="66"/>
    </row>
    <row r="181" spans="9:9">
      <c r="I181" s="66"/>
    </row>
    <row r="182" spans="9:9">
      <c r="I182" s="66"/>
    </row>
    <row r="183" spans="9:9">
      <c r="I183" s="66"/>
    </row>
    <row r="184" spans="9:9">
      <c r="I184" s="66"/>
    </row>
    <row r="185" spans="9:9">
      <c r="I185" s="66"/>
    </row>
    <row r="186" spans="9:9">
      <c r="I186" s="66"/>
    </row>
    <row r="187" spans="9:9">
      <c r="I187" s="66"/>
    </row>
    <row r="188" spans="9:9">
      <c r="I188" s="66"/>
    </row>
    <row r="189" spans="9:9">
      <c r="I189" s="66"/>
    </row>
    <row r="190" spans="9:9">
      <c r="I190" s="66"/>
    </row>
    <row r="191" spans="9:9">
      <c r="I191" s="66"/>
    </row>
    <row r="192" spans="9:9">
      <c r="I192" s="66"/>
    </row>
    <row r="193" spans="9:9">
      <c r="I193" s="66"/>
    </row>
    <row r="194" spans="9:9">
      <c r="I194" s="66"/>
    </row>
    <row r="195" spans="9:9">
      <c r="I195" s="66"/>
    </row>
    <row r="196" spans="9:9">
      <c r="I196" s="66"/>
    </row>
    <row r="197" spans="9:9">
      <c r="I197" s="66"/>
    </row>
    <row r="198" spans="9:9">
      <c r="I198" s="66"/>
    </row>
    <row r="199" spans="9:9">
      <c r="I199" s="66"/>
    </row>
    <row r="200" spans="9:9">
      <c r="I200" s="66"/>
    </row>
    <row r="201" spans="9:9">
      <c r="I201" s="66"/>
    </row>
    <row r="202" spans="9:9">
      <c r="I202" s="66"/>
    </row>
    <row r="203" spans="9:9">
      <c r="I203" s="66"/>
    </row>
    <row r="204" spans="9:9">
      <c r="I204" s="66"/>
    </row>
    <row r="205" spans="9:9">
      <c r="I205" s="66"/>
    </row>
    <row r="206" spans="9:9">
      <c r="I206" s="66"/>
    </row>
    <row r="207" spans="9:9">
      <c r="I207" s="66"/>
    </row>
    <row r="208" spans="9:9">
      <c r="I208" s="66"/>
    </row>
    <row r="209" spans="9:9">
      <c r="I209" s="66"/>
    </row>
    <row r="210" spans="9:9">
      <c r="I210" s="66"/>
    </row>
    <row r="211" spans="9:9">
      <c r="I211" s="66"/>
    </row>
    <row r="212" spans="9:9">
      <c r="I212" s="66"/>
    </row>
    <row r="213" spans="9:9">
      <c r="I213" s="66"/>
    </row>
    <row r="214" spans="9:9">
      <c r="I214" s="66"/>
    </row>
    <row r="215" spans="9:9">
      <c r="I215" s="66"/>
    </row>
    <row r="216" spans="9:9">
      <c r="I216" s="66"/>
    </row>
    <row r="217" spans="9:9">
      <c r="I217" s="66"/>
    </row>
    <row r="218" spans="9:9">
      <c r="I218" s="66"/>
    </row>
    <row r="219" spans="9:9">
      <c r="I219" s="66"/>
    </row>
    <row r="220" spans="9:9">
      <c r="I220" s="66"/>
    </row>
    <row r="221" spans="9:9">
      <c r="I221" s="66"/>
    </row>
    <row r="222" spans="9:9">
      <c r="I222" s="66"/>
    </row>
    <row r="223" spans="9:9">
      <c r="I223" s="66"/>
    </row>
    <row r="224" spans="9:9">
      <c r="I224" s="66"/>
    </row>
    <row r="225" spans="9:9">
      <c r="I225" s="66"/>
    </row>
    <row r="226" spans="9:9">
      <c r="I226" s="66"/>
    </row>
    <row r="227" spans="9:9">
      <c r="I227" s="66"/>
    </row>
    <row r="228" spans="9:9">
      <c r="I228" s="66"/>
    </row>
    <row r="229" spans="9:9">
      <c r="I229" s="66"/>
    </row>
    <row r="230" spans="9:9">
      <c r="I230" s="66"/>
    </row>
    <row r="231" spans="9:9">
      <c r="I231" s="66"/>
    </row>
    <row r="232" spans="9:9">
      <c r="I232" s="66"/>
    </row>
    <row r="233" spans="9:9">
      <c r="I233" s="66"/>
    </row>
    <row r="234" spans="9:9">
      <c r="I234" s="66"/>
    </row>
    <row r="235" spans="9:9">
      <c r="I235" s="66"/>
    </row>
    <row r="236" spans="9:9">
      <c r="I236" s="66"/>
    </row>
    <row r="237" spans="9:9">
      <c r="I237" s="66"/>
    </row>
    <row r="238" spans="9:9">
      <c r="I238" s="66"/>
    </row>
    <row r="239" spans="9:9">
      <c r="I239" s="66"/>
    </row>
    <row r="240" spans="9:9">
      <c r="I240" s="66"/>
    </row>
    <row r="241" spans="9:9">
      <c r="I241" s="66"/>
    </row>
    <row r="242" spans="9:9">
      <c r="I242" s="66"/>
    </row>
    <row r="243" spans="9:9">
      <c r="I243" s="66"/>
    </row>
    <row r="244" spans="9:9">
      <c r="I244" s="66"/>
    </row>
    <row r="245" spans="9:9">
      <c r="I245" s="66"/>
    </row>
    <row r="246" spans="9:9">
      <c r="I246" s="66"/>
    </row>
    <row r="247" spans="9:9">
      <c r="I247" s="66"/>
    </row>
    <row r="248" spans="9:9">
      <c r="I248" s="66"/>
    </row>
    <row r="249" spans="9:9">
      <c r="I249" s="66"/>
    </row>
    <row r="250" spans="9:9">
      <c r="I250" s="66"/>
    </row>
    <row r="251" spans="9:9">
      <c r="I251" s="66"/>
    </row>
    <row r="252" spans="9:9">
      <c r="I252" s="66"/>
    </row>
    <row r="253" spans="9:9">
      <c r="I253" s="66"/>
    </row>
    <row r="254" spans="9:9">
      <c r="I254" s="66"/>
    </row>
    <row r="255" spans="9:9">
      <c r="I255" s="66"/>
    </row>
    <row r="256" spans="9:9">
      <c r="I256" s="66"/>
    </row>
    <row r="257" spans="9:9">
      <c r="I257" s="66"/>
    </row>
    <row r="258" spans="9:9">
      <c r="I258" s="66"/>
    </row>
    <row r="259" spans="9:9">
      <c r="I259" s="66"/>
    </row>
    <row r="260" spans="9:9">
      <c r="I260" s="66"/>
    </row>
    <row r="261" spans="9:9">
      <c r="I261" s="66"/>
    </row>
    <row r="262" spans="9:9">
      <c r="I262" s="66"/>
    </row>
    <row r="263" spans="9:9">
      <c r="I263" s="66"/>
    </row>
    <row r="264" spans="9:9">
      <c r="I264" s="66"/>
    </row>
    <row r="265" spans="9:9">
      <c r="I265" s="66"/>
    </row>
    <row r="266" spans="9:9">
      <c r="I266" s="66"/>
    </row>
    <row r="267" spans="9:9">
      <c r="I267" s="66"/>
    </row>
    <row r="268" spans="9:9">
      <c r="I268" s="66"/>
    </row>
    <row r="269" spans="9:9">
      <c r="I269" s="66"/>
    </row>
    <row r="270" spans="9:9">
      <c r="I270" s="66"/>
    </row>
    <row r="271" spans="9:9">
      <c r="I271" s="66"/>
    </row>
    <row r="272" spans="9:9">
      <c r="I272" s="66"/>
    </row>
    <row r="273" spans="9:9">
      <c r="I273" s="66"/>
    </row>
    <row r="274" spans="9:9">
      <c r="I274" s="66"/>
    </row>
    <row r="275" spans="9:9">
      <c r="I275" s="66"/>
    </row>
    <row r="276" spans="9:9">
      <c r="I276" s="66"/>
    </row>
    <row r="277" spans="9:9">
      <c r="I277" s="66"/>
    </row>
    <row r="278" spans="9:9">
      <c r="I278" s="66"/>
    </row>
    <row r="279" spans="9:9">
      <c r="I279" s="66"/>
    </row>
    <row r="280" spans="9:9">
      <c r="I280" s="66"/>
    </row>
    <row r="281" spans="9:9">
      <c r="I281" s="66"/>
    </row>
    <row r="282" spans="9:9">
      <c r="I282" s="66"/>
    </row>
    <row r="283" spans="9:9">
      <c r="I283" s="66"/>
    </row>
    <row r="284" spans="9:9">
      <c r="I284" s="66"/>
    </row>
    <row r="285" spans="9:9">
      <c r="I285" s="66"/>
    </row>
    <row r="286" spans="9:9">
      <c r="I286" s="66"/>
    </row>
    <row r="287" spans="9:9">
      <c r="I287" s="66"/>
    </row>
    <row r="288" spans="9:9">
      <c r="I288" s="66"/>
    </row>
    <row r="289" spans="9:9">
      <c r="I289" s="66"/>
    </row>
    <row r="290" spans="9:9">
      <c r="I290" s="66"/>
    </row>
    <row r="291" spans="9:9">
      <c r="I291" s="66"/>
    </row>
    <row r="292" spans="9:9">
      <c r="I292" s="66"/>
    </row>
    <row r="293" spans="9:9">
      <c r="I293" s="66"/>
    </row>
    <row r="294" spans="9:9">
      <c r="I294" s="66"/>
    </row>
    <row r="295" spans="9:9">
      <c r="I295" s="66"/>
    </row>
    <row r="296" spans="9:9">
      <c r="I296" s="66"/>
    </row>
    <row r="297" spans="9:9">
      <c r="I297" s="66"/>
    </row>
    <row r="298" spans="9:9">
      <c r="I298" s="66"/>
    </row>
    <row r="299" spans="9:9">
      <c r="I299" s="66"/>
    </row>
    <row r="300" spans="9:9">
      <c r="I300" s="66"/>
    </row>
    <row r="301" spans="9:9">
      <c r="I301" s="66"/>
    </row>
    <row r="302" spans="9:9">
      <c r="I302" s="66"/>
    </row>
    <row r="303" spans="9:9">
      <c r="I303" s="66"/>
    </row>
    <row r="304" spans="9:9">
      <c r="I304" s="66"/>
    </row>
    <row r="305" spans="9:9">
      <c r="I305" s="66"/>
    </row>
    <row r="306" spans="9:9">
      <c r="I306" s="66"/>
    </row>
    <row r="307" spans="9:9">
      <c r="I307" s="66"/>
    </row>
    <row r="308" spans="9:9">
      <c r="I308" s="66"/>
    </row>
    <row r="309" spans="9:9">
      <c r="I309" s="66"/>
    </row>
    <row r="310" spans="9:9">
      <c r="I310" s="66"/>
    </row>
    <row r="311" spans="9:9">
      <c r="I311" s="66"/>
    </row>
    <row r="312" spans="9:9">
      <c r="I312" s="66"/>
    </row>
    <row r="313" spans="9:9">
      <c r="I313" s="66"/>
    </row>
    <row r="314" spans="9:9">
      <c r="I314" s="66"/>
    </row>
    <row r="315" spans="9:9">
      <c r="I315" s="66"/>
    </row>
    <row r="316" spans="9:9">
      <c r="I316" s="66"/>
    </row>
    <row r="317" spans="9:9">
      <c r="I317" s="66"/>
    </row>
    <row r="318" spans="9:9">
      <c r="I318" s="66"/>
    </row>
    <row r="319" spans="9:9">
      <c r="I319" s="66"/>
    </row>
    <row r="320" spans="9:9">
      <c r="I320" s="66"/>
    </row>
    <row r="321" spans="9:9">
      <c r="I321" s="66"/>
    </row>
    <row r="322" spans="9:9">
      <c r="I322" s="66"/>
    </row>
    <row r="323" spans="9:9">
      <c r="I323" s="66"/>
    </row>
    <row r="324" spans="9:9">
      <c r="I324" s="66"/>
    </row>
    <row r="325" spans="9:9">
      <c r="I325" s="66"/>
    </row>
    <row r="326" spans="9:9">
      <c r="I326" s="66"/>
    </row>
    <row r="327" spans="9:9">
      <c r="I327" s="66"/>
    </row>
    <row r="328" spans="9:9">
      <c r="I328" s="66"/>
    </row>
    <row r="329" spans="9:9">
      <c r="I329" s="66"/>
    </row>
    <row r="330" spans="9:9">
      <c r="I330" s="66"/>
    </row>
    <row r="331" spans="9:9">
      <c r="I331" s="66"/>
    </row>
    <row r="332" spans="9:9">
      <c r="I332" s="66"/>
    </row>
    <row r="333" spans="9:9">
      <c r="I333" s="66"/>
    </row>
    <row r="334" spans="9:9">
      <c r="I334" s="66"/>
    </row>
    <row r="335" spans="9:9">
      <c r="I335" s="66"/>
    </row>
    <row r="336" spans="9:9">
      <c r="I336" s="66"/>
    </row>
    <row r="337" spans="9:9">
      <c r="I337" s="66"/>
    </row>
    <row r="338" spans="9:9">
      <c r="I338" s="66"/>
    </row>
    <row r="339" spans="9:9">
      <c r="I339" s="66"/>
    </row>
    <row r="340" spans="9:9">
      <c r="I340" s="66"/>
    </row>
    <row r="341" spans="9:9">
      <c r="I341" s="66"/>
    </row>
    <row r="342" spans="9:9">
      <c r="I342" s="66"/>
    </row>
    <row r="343" spans="9:9">
      <c r="I343" s="66"/>
    </row>
    <row r="344" spans="9:9">
      <c r="I344" s="66"/>
    </row>
    <row r="345" spans="9:9">
      <c r="I345" s="66"/>
    </row>
    <row r="346" spans="9:9">
      <c r="I346" s="66"/>
    </row>
    <row r="347" spans="9:9">
      <c r="I347" s="66"/>
    </row>
    <row r="348" spans="9:9">
      <c r="I348" s="66"/>
    </row>
    <row r="349" spans="9:9">
      <c r="I349" s="66"/>
    </row>
    <row r="350" spans="9:9">
      <c r="I350" s="66"/>
    </row>
    <row r="351" spans="9:9">
      <c r="I351" s="66"/>
    </row>
    <row r="352" spans="9:9">
      <c r="I352" s="66"/>
    </row>
    <row r="353" spans="9:9">
      <c r="I353" s="66"/>
    </row>
    <row r="354" spans="9:9">
      <c r="I354" s="66"/>
    </row>
    <row r="355" spans="9:9">
      <c r="I355" s="66"/>
    </row>
    <row r="356" spans="9:9">
      <c r="I356" s="66"/>
    </row>
    <row r="357" spans="9:9">
      <c r="I357" s="66"/>
    </row>
    <row r="358" spans="9:9">
      <c r="I358" s="66"/>
    </row>
    <row r="359" spans="9:9">
      <c r="I359" s="66"/>
    </row>
    <row r="360" spans="9:9">
      <c r="I360" s="66"/>
    </row>
    <row r="361" spans="9:9">
      <c r="I361" s="66"/>
    </row>
    <row r="362" spans="9:9">
      <c r="I362" s="66"/>
    </row>
    <row r="363" spans="9:9">
      <c r="I363" s="66"/>
    </row>
    <row r="364" spans="9:9">
      <c r="I364" s="66"/>
    </row>
    <row r="365" spans="9:9">
      <c r="I365" s="66"/>
    </row>
    <row r="366" spans="9:9">
      <c r="I366" s="66"/>
    </row>
    <row r="367" spans="9:9">
      <c r="I367" s="66"/>
    </row>
    <row r="368" spans="9:9">
      <c r="I368" s="66"/>
    </row>
    <row r="369" spans="9:9">
      <c r="I369" s="66"/>
    </row>
    <row r="370" spans="9:9">
      <c r="I370" s="66"/>
    </row>
    <row r="371" spans="9:9">
      <c r="I371" s="66"/>
    </row>
    <row r="372" spans="9:9">
      <c r="I372" s="66"/>
    </row>
    <row r="373" spans="9:9">
      <c r="I373" s="66"/>
    </row>
    <row r="374" spans="9:9">
      <c r="I374" s="66"/>
    </row>
    <row r="375" spans="9:9">
      <c r="I375" s="66"/>
    </row>
    <row r="376" spans="9:9">
      <c r="I376" s="66"/>
    </row>
    <row r="377" spans="9:9">
      <c r="I377" s="66"/>
    </row>
    <row r="378" spans="9:9">
      <c r="I378" s="66"/>
    </row>
    <row r="379" spans="9:9">
      <c r="I379" s="66"/>
    </row>
    <row r="380" spans="9:9">
      <c r="I380" s="66"/>
    </row>
    <row r="381" spans="9:9">
      <c r="I381" s="66"/>
    </row>
    <row r="382" spans="9:9">
      <c r="I382" s="66"/>
    </row>
    <row r="383" spans="9:9">
      <c r="I383" s="66"/>
    </row>
    <row r="384" spans="9:9">
      <c r="I384" s="66"/>
    </row>
    <row r="385" spans="9:9">
      <c r="I385" s="66"/>
    </row>
    <row r="386" spans="9:9">
      <c r="I386" s="66"/>
    </row>
    <row r="387" spans="9:9">
      <c r="I387" s="66"/>
    </row>
    <row r="388" spans="9:9">
      <c r="I388" s="66"/>
    </row>
    <row r="389" spans="9:9">
      <c r="I389" s="66"/>
    </row>
    <row r="390" spans="9:9">
      <c r="I390" s="66"/>
    </row>
    <row r="391" spans="9:9">
      <c r="I391" s="66"/>
    </row>
    <row r="392" spans="9:9">
      <c r="I392" s="66"/>
    </row>
    <row r="393" spans="9:9">
      <c r="I393" s="66"/>
    </row>
    <row r="394" spans="9:9">
      <c r="I394" s="66"/>
    </row>
    <row r="395" spans="9:9">
      <c r="I395" s="66"/>
    </row>
    <row r="396" spans="9:9">
      <c r="I396" s="66"/>
    </row>
    <row r="397" spans="9:9">
      <c r="I397" s="66"/>
    </row>
    <row r="398" spans="9:9">
      <c r="I398" s="66"/>
    </row>
    <row r="399" spans="9:9">
      <c r="I399" s="66"/>
    </row>
    <row r="400" spans="9:9">
      <c r="I400" s="66"/>
    </row>
    <row r="401" spans="9:9">
      <c r="I401" s="66"/>
    </row>
    <row r="402" spans="9:9">
      <c r="I402" s="66"/>
    </row>
    <row r="403" spans="9:9">
      <c r="I403" s="66"/>
    </row>
    <row r="404" spans="9:9">
      <c r="I404" s="66"/>
    </row>
    <row r="405" spans="9:9">
      <c r="I405" s="66"/>
    </row>
    <row r="406" spans="9:9">
      <c r="I406" s="66"/>
    </row>
    <row r="407" spans="9:9">
      <c r="I407" s="66"/>
    </row>
    <row r="408" spans="9:9">
      <c r="I408" s="66"/>
    </row>
    <row r="409" spans="9:9">
      <c r="I409" s="66"/>
    </row>
    <row r="410" spans="9:9">
      <c r="I410" s="66"/>
    </row>
    <row r="411" spans="9:9">
      <c r="I411" s="66"/>
    </row>
    <row r="412" spans="9:9">
      <c r="I412" s="66"/>
    </row>
    <row r="413" spans="9:9">
      <c r="I413" s="66"/>
    </row>
    <row r="414" spans="9:9">
      <c r="I414" s="66"/>
    </row>
    <row r="415" spans="9:9">
      <c r="I415" s="66"/>
    </row>
    <row r="416" spans="9:9">
      <c r="I416" s="66"/>
    </row>
    <row r="417" spans="9:9">
      <c r="I417" s="66"/>
    </row>
    <row r="418" spans="9:9">
      <c r="I418" s="66"/>
    </row>
    <row r="419" spans="9:9">
      <c r="I419" s="66"/>
    </row>
    <row r="420" spans="9:9">
      <c r="I420" s="66"/>
    </row>
    <row r="421" spans="9:9">
      <c r="I421" s="66"/>
    </row>
    <row r="422" spans="9:9">
      <c r="I422" s="66"/>
    </row>
    <row r="423" spans="9:9">
      <c r="I423" s="66"/>
    </row>
    <row r="424" spans="9:9">
      <c r="I424" s="66"/>
    </row>
    <row r="425" spans="9:9">
      <c r="I425" s="66"/>
    </row>
    <row r="426" spans="9:9">
      <c r="I426" s="66"/>
    </row>
    <row r="427" spans="9:9">
      <c r="I427" s="66"/>
    </row>
    <row r="428" spans="9:9">
      <c r="I428" s="66"/>
    </row>
    <row r="429" spans="9:9">
      <c r="I429" s="66"/>
    </row>
    <row r="430" spans="9:9">
      <c r="I430" s="66"/>
    </row>
    <row r="431" spans="9:9">
      <c r="I431" s="66"/>
    </row>
    <row r="432" spans="9:9">
      <c r="I432" s="66"/>
    </row>
    <row r="433" spans="9:9">
      <c r="I433" s="66"/>
    </row>
    <row r="434" spans="9:9">
      <c r="I434" s="66"/>
    </row>
    <row r="435" spans="9:9">
      <c r="I435" s="66"/>
    </row>
    <row r="436" spans="9:9">
      <c r="I436" s="66"/>
    </row>
    <row r="437" spans="9:9">
      <c r="I437" s="66"/>
    </row>
    <row r="438" spans="9:9">
      <c r="I438" s="66"/>
    </row>
    <row r="439" spans="9:9">
      <c r="I439" s="66"/>
    </row>
    <row r="440" spans="9:9">
      <c r="I440" s="66"/>
    </row>
    <row r="441" spans="9:9">
      <c r="I441" s="66"/>
    </row>
    <row r="442" spans="9:9">
      <c r="I442" s="66"/>
    </row>
    <row r="443" spans="9:9">
      <c r="I443" s="66"/>
    </row>
    <row r="444" spans="9:9">
      <c r="I444" s="66"/>
    </row>
    <row r="445" spans="9:9">
      <c r="I445" s="66"/>
    </row>
    <row r="446" spans="9:9">
      <c r="I446" s="66"/>
    </row>
    <row r="447" spans="9:9">
      <c r="I447" s="66"/>
    </row>
    <row r="448" spans="9:9">
      <c r="I448" s="66"/>
    </row>
    <row r="449" spans="9:9">
      <c r="I449" s="66"/>
    </row>
    <row r="450" spans="9:9">
      <c r="I450" s="66"/>
    </row>
    <row r="451" spans="9:9">
      <c r="I451" s="66"/>
    </row>
    <row r="452" spans="9:9">
      <c r="I452" s="66"/>
    </row>
    <row r="453" spans="9:9">
      <c r="I453" s="66"/>
    </row>
    <row r="454" spans="9:9">
      <c r="I454" s="66"/>
    </row>
    <row r="455" spans="9:9">
      <c r="I455" s="66"/>
    </row>
    <row r="456" spans="9:9">
      <c r="I456" s="66"/>
    </row>
    <row r="457" spans="9:9">
      <c r="I457" s="66"/>
    </row>
    <row r="458" spans="9:9">
      <c r="I458" s="66"/>
    </row>
    <row r="459" spans="9:9">
      <c r="I459" s="66"/>
    </row>
    <row r="460" spans="9:9">
      <c r="I460" s="66"/>
    </row>
    <row r="461" spans="9:9">
      <c r="I461" s="66"/>
    </row>
    <row r="462" spans="9:9">
      <c r="I462" s="66"/>
    </row>
    <row r="463" spans="9:9">
      <c r="I463" s="66"/>
    </row>
    <row r="464" spans="9:9">
      <c r="I464" s="66"/>
    </row>
    <row r="465" spans="9:9">
      <c r="I465" s="66"/>
    </row>
    <row r="466" spans="9:9">
      <c r="I466" s="66"/>
    </row>
    <row r="467" spans="9:9">
      <c r="I467" s="66"/>
    </row>
    <row r="468" spans="9:9">
      <c r="I468" s="66"/>
    </row>
    <row r="469" spans="9:9">
      <c r="I469" s="66"/>
    </row>
    <row r="470" spans="9:9">
      <c r="I470" s="66"/>
    </row>
    <row r="471" spans="9:9">
      <c r="I471" s="66"/>
    </row>
    <row r="472" spans="9:9">
      <c r="I472" s="66"/>
    </row>
    <row r="473" spans="9:9">
      <c r="I473" s="66"/>
    </row>
    <row r="474" spans="9:9">
      <c r="I474" s="66"/>
    </row>
    <row r="475" spans="9:9">
      <c r="I475" s="66"/>
    </row>
    <row r="476" spans="9:9">
      <c r="I476" s="66"/>
    </row>
    <row r="477" spans="9:9">
      <c r="I477" s="66"/>
    </row>
    <row r="478" spans="9:9">
      <c r="I478" s="66"/>
    </row>
    <row r="479" spans="9:9">
      <c r="I479" s="66"/>
    </row>
    <row r="480" spans="9:9">
      <c r="I480" s="66"/>
    </row>
    <row r="481" spans="9:9">
      <c r="I481" s="66"/>
    </row>
    <row r="482" spans="9:9">
      <c r="I482" s="66"/>
    </row>
    <row r="483" spans="9:9">
      <c r="I483" s="66"/>
    </row>
    <row r="484" spans="9:9">
      <c r="I484" s="66"/>
    </row>
    <row r="485" spans="9:9">
      <c r="I485" s="66"/>
    </row>
    <row r="486" spans="9:9">
      <c r="I486" s="66"/>
    </row>
    <row r="487" spans="9:9">
      <c r="I487" s="66"/>
    </row>
    <row r="488" spans="9:9">
      <c r="I488" s="66"/>
    </row>
    <row r="489" spans="9:9">
      <c r="I489" s="66"/>
    </row>
    <row r="490" spans="9:9">
      <c r="I490" s="66"/>
    </row>
    <row r="491" spans="9:9">
      <c r="I491" s="66"/>
    </row>
    <row r="492" spans="9:9">
      <c r="I492" s="66"/>
    </row>
    <row r="493" spans="9:9">
      <c r="I493" s="66"/>
    </row>
    <row r="494" spans="9:9">
      <c r="I494" s="66"/>
    </row>
    <row r="495" spans="9:9">
      <c r="I495" s="66"/>
    </row>
    <row r="496" spans="9:9">
      <c r="I496" s="66"/>
    </row>
    <row r="497" spans="9:9">
      <c r="I497" s="66"/>
    </row>
    <row r="498" spans="9:9">
      <c r="I498" s="66"/>
    </row>
    <row r="499" spans="9:9">
      <c r="I499" s="66"/>
    </row>
    <row r="500" spans="9:9">
      <c r="I500" s="66"/>
    </row>
    <row r="501" spans="9:9">
      <c r="I501" s="66"/>
    </row>
    <row r="502" spans="9:9">
      <c r="I502" s="66"/>
    </row>
    <row r="503" spans="9:9">
      <c r="I503" s="66"/>
    </row>
    <row r="504" spans="9:9">
      <c r="I504" s="66"/>
    </row>
    <row r="505" spans="9:9">
      <c r="I505" s="66"/>
    </row>
    <row r="506" spans="9:9">
      <c r="I506" s="66"/>
    </row>
    <row r="507" spans="9:9">
      <c r="I507" s="66"/>
    </row>
    <row r="508" spans="9:9">
      <c r="I508" s="66"/>
    </row>
    <row r="509" spans="9:9">
      <c r="I509" s="66"/>
    </row>
    <row r="510" spans="9:9">
      <c r="I510" s="66"/>
    </row>
    <row r="511" spans="9:9">
      <c r="I511" s="66"/>
    </row>
    <row r="512" spans="9:9">
      <c r="I512" s="66"/>
    </row>
    <row r="513" spans="9:9">
      <c r="I513" s="66"/>
    </row>
    <row r="514" spans="9:9">
      <c r="I514" s="66"/>
    </row>
    <row r="515" spans="9:9">
      <c r="I515" s="66"/>
    </row>
    <row r="516" spans="9:9">
      <c r="I516" s="66"/>
    </row>
    <row r="517" spans="9:9">
      <c r="I517" s="66"/>
    </row>
    <row r="518" spans="9:9">
      <c r="I518" s="66"/>
    </row>
    <row r="519" spans="9:9">
      <c r="I519" s="66"/>
    </row>
    <row r="520" spans="9:9">
      <c r="I520" s="66"/>
    </row>
    <row r="521" spans="9:9">
      <c r="I521" s="66"/>
    </row>
    <row r="522" spans="9:9">
      <c r="I522" s="66"/>
    </row>
    <row r="523" spans="9:9">
      <c r="I523" s="66"/>
    </row>
    <row r="524" spans="9:9">
      <c r="I524" s="66"/>
    </row>
    <row r="525" spans="9:9">
      <c r="I525" s="66"/>
    </row>
    <row r="526" spans="9:9">
      <c r="I526" s="66"/>
    </row>
    <row r="527" spans="9:9">
      <c r="I527" s="66"/>
    </row>
    <row r="528" spans="9:9">
      <c r="I528" s="66"/>
    </row>
    <row r="529" spans="9:9">
      <c r="I529" s="66"/>
    </row>
    <row r="530" spans="9:9">
      <c r="I530" s="66"/>
    </row>
    <row r="531" spans="9:9">
      <c r="I531" s="66"/>
    </row>
    <row r="532" spans="9:9">
      <c r="I532" s="66"/>
    </row>
    <row r="533" spans="9:9">
      <c r="I533" s="66"/>
    </row>
    <row r="534" spans="9:9">
      <c r="I534" s="66"/>
    </row>
    <row r="535" spans="9:9">
      <c r="I535" s="66"/>
    </row>
    <row r="536" spans="9:9">
      <c r="I536" s="66"/>
    </row>
    <row r="537" spans="9:9">
      <c r="I537" s="66"/>
    </row>
    <row r="538" spans="9:9">
      <c r="I538" s="66"/>
    </row>
    <row r="539" spans="9:9">
      <c r="I539" s="66"/>
    </row>
    <row r="540" spans="9:9">
      <c r="I540" s="66"/>
    </row>
    <row r="541" spans="9:9">
      <c r="I541" s="66"/>
    </row>
    <row r="542" spans="9:9">
      <c r="I542" s="66"/>
    </row>
    <row r="543" spans="9:9">
      <c r="I543" s="66"/>
    </row>
    <row r="544" spans="9:9">
      <c r="I544" s="66"/>
    </row>
    <row r="545" spans="9:9">
      <c r="I545" s="66"/>
    </row>
    <row r="546" spans="9:9">
      <c r="I546" s="66"/>
    </row>
    <row r="547" spans="9:9">
      <c r="I547" s="66"/>
    </row>
    <row r="548" spans="9:9">
      <c r="I548" s="66"/>
    </row>
    <row r="549" spans="9:9">
      <c r="I549" s="66"/>
    </row>
    <row r="550" spans="9:9">
      <c r="I550" s="66"/>
    </row>
    <row r="551" spans="9:9">
      <c r="I551" s="66"/>
    </row>
    <row r="552" spans="9:9">
      <c r="I552" s="66"/>
    </row>
    <row r="553" spans="9:9">
      <c r="I553" s="66"/>
    </row>
    <row r="554" spans="9:9">
      <c r="I554" s="66"/>
    </row>
    <row r="555" spans="9:9">
      <c r="I555" s="66"/>
    </row>
    <row r="556" spans="9:9">
      <c r="I556" s="66"/>
    </row>
    <row r="557" spans="9:9">
      <c r="I557" s="66"/>
    </row>
    <row r="558" spans="9:9">
      <c r="I558" s="66"/>
    </row>
    <row r="559" spans="9:9">
      <c r="I559" s="66"/>
    </row>
    <row r="560" spans="9:9">
      <c r="I560" s="66"/>
    </row>
    <row r="561" spans="9:9">
      <c r="I561" s="66"/>
    </row>
    <row r="562" spans="9:9">
      <c r="I562" s="66"/>
    </row>
    <row r="563" spans="9:9">
      <c r="I563" s="66"/>
    </row>
    <row r="564" spans="9:9">
      <c r="I564" s="66"/>
    </row>
    <row r="565" spans="9:9">
      <c r="I565" s="66"/>
    </row>
    <row r="566" spans="9:9">
      <c r="I566" s="66"/>
    </row>
    <row r="567" spans="9:9">
      <c r="I567" s="66"/>
    </row>
    <row r="568" spans="9:9">
      <c r="I568" s="66"/>
    </row>
    <row r="569" spans="9:9">
      <c r="I569" s="66"/>
    </row>
    <row r="570" spans="9:9">
      <c r="I570" s="66"/>
    </row>
    <row r="571" spans="9:9">
      <c r="I571" s="66"/>
    </row>
    <row r="572" spans="9:9">
      <c r="I572" s="66"/>
    </row>
    <row r="573" spans="9:9">
      <c r="I573" s="66"/>
    </row>
    <row r="574" spans="9:9">
      <c r="I574" s="66"/>
    </row>
    <row r="575" spans="9:9">
      <c r="I575" s="66"/>
    </row>
    <row r="576" spans="9:9">
      <c r="I576" s="66"/>
    </row>
    <row r="577" spans="9:9">
      <c r="I577" s="66"/>
    </row>
    <row r="578" spans="9:9">
      <c r="I578" s="66"/>
    </row>
    <row r="579" spans="9:9">
      <c r="I579" s="66"/>
    </row>
    <row r="580" spans="9:9">
      <c r="I580" s="66"/>
    </row>
    <row r="581" spans="9:9">
      <c r="I581" s="66"/>
    </row>
    <row r="582" spans="9:9">
      <c r="I582" s="66"/>
    </row>
    <row r="583" spans="9:9">
      <c r="I583" s="66"/>
    </row>
    <row r="584" spans="9:9">
      <c r="I584" s="66"/>
    </row>
    <row r="585" spans="9:9">
      <c r="I585" s="66"/>
    </row>
    <row r="586" spans="9:9">
      <c r="I586" s="66"/>
    </row>
    <row r="587" spans="9:9">
      <c r="I587" s="66"/>
    </row>
    <row r="588" spans="9:9">
      <c r="I588" s="66"/>
    </row>
    <row r="589" spans="9:9">
      <c r="I589" s="66"/>
    </row>
    <row r="590" spans="9:9">
      <c r="I590" s="66"/>
    </row>
    <row r="591" spans="9:9">
      <c r="I591" s="66"/>
    </row>
    <row r="592" spans="9:9">
      <c r="I592" s="66"/>
    </row>
    <row r="593" spans="9:9">
      <c r="I593" s="66"/>
    </row>
    <row r="594" spans="9:9">
      <c r="I594" s="66"/>
    </row>
    <row r="595" spans="9:9">
      <c r="I595" s="66"/>
    </row>
    <row r="596" spans="9:9">
      <c r="I596" s="66"/>
    </row>
    <row r="597" spans="9:9">
      <c r="I597" s="66"/>
    </row>
    <row r="598" spans="9:9">
      <c r="I598" s="66"/>
    </row>
    <row r="599" spans="9:9">
      <c r="I599" s="66"/>
    </row>
    <row r="600" spans="9:9">
      <c r="I600" s="66"/>
    </row>
    <row r="601" spans="9:9">
      <c r="I601" s="66"/>
    </row>
    <row r="602" spans="9:9">
      <c r="I602" s="66"/>
    </row>
    <row r="603" spans="9:9">
      <c r="I603" s="66"/>
    </row>
    <row r="604" spans="9:9">
      <c r="I604" s="66"/>
    </row>
    <row r="605" spans="9:9">
      <c r="I605" s="66"/>
    </row>
    <row r="606" spans="9:9">
      <c r="I606" s="66"/>
    </row>
    <row r="607" spans="9:9">
      <c r="I607" s="66"/>
    </row>
    <row r="608" spans="9:9">
      <c r="I608" s="66"/>
    </row>
    <row r="609" spans="9:9">
      <c r="I609" s="66"/>
    </row>
    <row r="610" spans="9:9">
      <c r="I610" s="66"/>
    </row>
    <row r="611" spans="9:9">
      <c r="I611" s="66"/>
    </row>
    <row r="612" spans="9:9">
      <c r="I612" s="66"/>
    </row>
    <row r="613" spans="9:9">
      <c r="I613" s="66"/>
    </row>
    <row r="614" spans="9:9">
      <c r="I614" s="66"/>
    </row>
    <row r="615" spans="9:9">
      <c r="I615" s="66"/>
    </row>
    <row r="616" spans="9:9">
      <c r="I616" s="66"/>
    </row>
    <row r="617" spans="9:9">
      <c r="I617" s="66"/>
    </row>
    <row r="618" spans="9:9">
      <c r="I618" s="66"/>
    </row>
    <row r="619" spans="9:9">
      <c r="I619" s="66"/>
    </row>
    <row r="620" spans="9:9">
      <c r="I620" s="66"/>
    </row>
    <row r="621" spans="9:9">
      <c r="I621" s="66"/>
    </row>
    <row r="622" spans="9:9">
      <c r="I622" s="66"/>
    </row>
    <row r="623" spans="9:9">
      <c r="I623" s="66"/>
    </row>
    <row r="624" spans="9:9">
      <c r="I624" s="66"/>
    </row>
    <row r="625" spans="9:9">
      <c r="I625" s="66"/>
    </row>
    <row r="626" spans="9:9">
      <c r="I626" s="66"/>
    </row>
    <row r="627" spans="9:9">
      <c r="I627" s="66"/>
    </row>
    <row r="628" spans="9:9">
      <c r="I628" s="66"/>
    </row>
    <row r="629" spans="9:9">
      <c r="I629" s="66"/>
    </row>
    <row r="630" spans="9:9">
      <c r="I630" s="66"/>
    </row>
    <row r="631" spans="9:9">
      <c r="I631" s="66"/>
    </row>
    <row r="632" spans="9:9">
      <c r="I632" s="66"/>
    </row>
    <row r="633" spans="9:9">
      <c r="I633" s="66"/>
    </row>
    <row r="634" spans="9:9">
      <c r="I634" s="66"/>
    </row>
    <row r="635" spans="9:9">
      <c r="I635" s="66"/>
    </row>
    <row r="636" spans="9:9">
      <c r="I636" s="66"/>
    </row>
    <row r="637" spans="9:9">
      <c r="I637" s="66"/>
    </row>
    <row r="638" spans="9:9">
      <c r="I638" s="66"/>
    </row>
    <row r="639" spans="9:9">
      <c r="I639" s="66"/>
    </row>
    <row r="640" spans="9:9">
      <c r="I640" s="66"/>
    </row>
    <row r="641" spans="9:9">
      <c r="I641" s="66"/>
    </row>
    <row r="642" spans="9:9">
      <c r="I642" s="66"/>
    </row>
    <row r="643" spans="9:9">
      <c r="I643" s="66"/>
    </row>
    <row r="644" spans="9:9">
      <c r="I644" s="66"/>
    </row>
    <row r="645" spans="9:9">
      <c r="I645" s="66"/>
    </row>
    <row r="646" spans="9:9">
      <c r="I646" s="66"/>
    </row>
    <row r="647" spans="9:9">
      <c r="I647" s="66"/>
    </row>
    <row r="648" spans="9:9">
      <c r="I648" s="66"/>
    </row>
    <row r="649" spans="9:9">
      <c r="I649" s="66"/>
    </row>
    <row r="650" spans="9:9">
      <c r="I650" s="66"/>
    </row>
    <row r="651" spans="9:9">
      <c r="I651" s="66"/>
    </row>
    <row r="652" spans="9:9">
      <c r="I652" s="66"/>
    </row>
    <row r="653" spans="9:9">
      <c r="I653" s="66"/>
    </row>
    <row r="654" spans="9:9">
      <c r="I654" s="66"/>
    </row>
    <row r="655" spans="9:9">
      <c r="I655" s="66"/>
    </row>
    <row r="656" spans="9:9">
      <c r="I656" s="66"/>
    </row>
    <row r="657" spans="9:9">
      <c r="I657" s="66"/>
    </row>
    <row r="658" spans="9:9">
      <c r="I658" s="66"/>
    </row>
    <row r="659" spans="9:9">
      <c r="I659" s="66"/>
    </row>
    <row r="660" spans="9:9">
      <c r="I660" s="66"/>
    </row>
    <row r="661" spans="9:9">
      <c r="I661" s="66"/>
    </row>
    <row r="662" spans="9:9">
      <c r="I662" s="66"/>
    </row>
    <row r="663" spans="9:9">
      <c r="I663" s="66"/>
    </row>
    <row r="664" spans="9:9">
      <c r="I664" s="66"/>
    </row>
    <row r="665" spans="9:9">
      <c r="I665" s="66"/>
    </row>
    <row r="666" spans="9:9">
      <c r="I666" s="66"/>
    </row>
    <row r="667" spans="9:9">
      <c r="I667" s="66"/>
    </row>
    <row r="668" spans="9:9">
      <c r="I668" s="66"/>
    </row>
    <row r="669" spans="9:9">
      <c r="I669" s="66"/>
    </row>
    <row r="670" spans="9:9">
      <c r="I670" s="66"/>
    </row>
    <row r="671" spans="9:9">
      <c r="I671" s="66"/>
    </row>
    <row r="672" spans="9:9">
      <c r="I672" s="66"/>
    </row>
    <row r="673" spans="9:9">
      <c r="I673" s="66"/>
    </row>
    <row r="674" spans="9:9">
      <c r="I674" s="66"/>
    </row>
    <row r="675" spans="9:9">
      <c r="I675" s="66"/>
    </row>
    <row r="676" spans="9:9">
      <c r="I676" s="66"/>
    </row>
    <row r="677" spans="9:9">
      <c r="I677" s="66"/>
    </row>
    <row r="678" spans="9:9">
      <c r="I678" s="66"/>
    </row>
    <row r="679" spans="9:9">
      <c r="I679" s="66"/>
    </row>
    <row r="680" spans="9:9">
      <c r="I680" s="66"/>
    </row>
    <row r="681" spans="9:9">
      <c r="I681" s="66"/>
    </row>
    <row r="682" spans="9:9">
      <c r="I682" s="66"/>
    </row>
    <row r="683" spans="9:9">
      <c r="I683" s="66"/>
    </row>
    <row r="684" spans="9:9">
      <c r="I684" s="66"/>
    </row>
    <row r="685" spans="9:9">
      <c r="I685" s="66"/>
    </row>
    <row r="686" spans="9:9">
      <c r="I686" s="66"/>
    </row>
    <row r="687" spans="9:9">
      <c r="I687" s="66"/>
    </row>
    <row r="688" spans="9:9">
      <c r="I688" s="66"/>
    </row>
    <row r="689" spans="9:9">
      <c r="I689" s="66"/>
    </row>
    <row r="690" spans="9:9">
      <c r="I690" s="66"/>
    </row>
    <row r="691" spans="9:9">
      <c r="I691" s="66"/>
    </row>
    <row r="692" spans="9:9">
      <c r="I692" s="66"/>
    </row>
    <row r="693" spans="9:9">
      <c r="I693" s="66"/>
    </row>
    <row r="694" spans="9:9">
      <c r="I694" s="66"/>
    </row>
    <row r="695" spans="9:9">
      <c r="I695" s="66"/>
    </row>
    <row r="696" spans="9:9">
      <c r="I696" s="66"/>
    </row>
    <row r="697" spans="9:9">
      <c r="I697" s="66"/>
    </row>
    <row r="698" spans="9:9">
      <c r="I698" s="66"/>
    </row>
    <row r="699" spans="9:9">
      <c r="I699" s="66"/>
    </row>
    <row r="700" spans="9:9">
      <c r="I700" s="66"/>
    </row>
    <row r="701" spans="9:9">
      <c r="I701" s="66"/>
    </row>
    <row r="702" spans="9:9">
      <c r="I702" s="66"/>
    </row>
    <row r="703" spans="9:9">
      <c r="I703" s="66"/>
    </row>
    <row r="704" spans="9:9">
      <c r="I704" s="66"/>
    </row>
    <row r="705" spans="9:9">
      <c r="I705" s="66"/>
    </row>
    <row r="706" spans="9:9">
      <c r="I706" s="66"/>
    </row>
    <row r="707" spans="9:9">
      <c r="I707" s="66"/>
    </row>
    <row r="708" spans="9:9">
      <c r="I708" s="66"/>
    </row>
    <row r="709" spans="9:9">
      <c r="I709" s="66"/>
    </row>
    <row r="710" spans="9:9">
      <c r="I710" s="66"/>
    </row>
    <row r="711" spans="9:9">
      <c r="I711" s="66"/>
    </row>
    <row r="712" spans="9:9">
      <c r="I712" s="66"/>
    </row>
    <row r="713" spans="9:9">
      <c r="I713" s="66"/>
    </row>
    <row r="714" spans="9:9">
      <c r="I714" s="66"/>
    </row>
    <row r="715" spans="9:9">
      <c r="I715" s="66"/>
    </row>
    <row r="716" spans="9:9">
      <c r="I716" s="66"/>
    </row>
    <row r="717" spans="9:9">
      <c r="I717" s="66"/>
    </row>
    <row r="718" spans="9:9">
      <c r="I718" s="66"/>
    </row>
    <row r="719" spans="9:9">
      <c r="I719" s="66"/>
    </row>
    <row r="720" spans="9:9">
      <c r="I720" s="66"/>
    </row>
    <row r="721" spans="9:9">
      <c r="I721" s="66"/>
    </row>
    <row r="722" spans="9:9">
      <c r="I722" s="66"/>
    </row>
    <row r="723" spans="9:9">
      <c r="I723" s="66"/>
    </row>
    <row r="724" spans="9:9">
      <c r="I724" s="66"/>
    </row>
    <row r="725" spans="9:9">
      <c r="I725" s="66"/>
    </row>
    <row r="726" spans="9:9">
      <c r="I726" s="66"/>
    </row>
    <row r="727" spans="9:9">
      <c r="I727" s="66"/>
    </row>
    <row r="728" spans="9:9">
      <c r="I728" s="66"/>
    </row>
    <row r="729" spans="9:9">
      <c r="I729" s="66"/>
    </row>
    <row r="730" spans="9:9">
      <c r="I730" s="66"/>
    </row>
    <row r="731" spans="9:9">
      <c r="I731" s="66"/>
    </row>
    <row r="732" spans="9:9">
      <c r="I732" s="66"/>
    </row>
    <row r="733" spans="9:9">
      <c r="I733" s="66"/>
    </row>
    <row r="734" spans="9:9">
      <c r="I734" s="66"/>
    </row>
    <row r="735" spans="9:9">
      <c r="I735" s="66"/>
    </row>
    <row r="736" spans="9:9">
      <c r="I736" s="66"/>
    </row>
    <row r="737" spans="9:9">
      <c r="I737" s="66"/>
    </row>
    <row r="738" spans="9:9">
      <c r="I738" s="66"/>
    </row>
    <row r="739" spans="9:9">
      <c r="I739" s="66"/>
    </row>
    <row r="740" spans="9:9">
      <c r="I740" s="66"/>
    </row>
    <row r="741" spans="9:9">
      <c r="I741" s="66"/>
    </row>
    <row r="742" spans="9:9">
      <c r="I742" s="66"/>
    </row>
    <row r="743" spans="9:9">
      <c r="I743" s="66"/>
    </row>
    <row r="744" spans="9:9">
      <c r="I744" s="66"/>
    </row>
    <row r="745" spans="9:9">
      <c r="I745" s="66"/>
    </row>
    <row r="746" spans="9:9">
      <c r="I746" s="66"/>
    </row>
    <row r="747" spans="9:9">
      <c r="I747" s="66"/>
    </row>
    <row r="748" spans="9:9">
      <c r="I748" s="66"/>
    </row>
    <row r="749" spans="9:9">
      <c r="I749" s="66"/>
    </row>
    <row r="750" spans="9:9">
      <c r="I750" s="66"/>
    </row>
    <row r="751" spans="9:9">
      <c r="I751" s="66"/>
    </row>
    <row r="752" spans="9:9">
      <c r="I752" s="66"/>
    </row>
    <row r="753" spans="9:9">
      <c r="I753" s="66"/>
    </row>
    <row r="754" spans="9:9">
      <c r="I754" s="66"/>
    </row>
    <row r="755" spans="9:9">
      <c r="I755" s="66"/>
    </row>
    <row r="756" spans="9:9">
      <c r="I756" s="66"/>
    </row>
    <row r="757" spans="9:9">
      <c r="I757" s="66"/>
    </row>
    <row r="758" spans="9:9">
      <c r="I758" s="66"/>
    </row>
    <row r="759" spans="9:9">
      <c r="I759" s="66"/>
    </row>
    <row r="760" spans="9:9">
      <c r="I760" s="66"/>
    </row>
    <row r="761" spans="9:9">
      <c r="I761" s="66"/>
    </row>
    <row r="762" spans="9:9">
      <c r="I762" s="66"/>
    </row>
    <row r="763" spans="9:9">
      <c r="I763" s="66"/>
    </row>
    <row r="764" spans="9:9">
      <c r="I764" s="66"/>
    </row>
    <row r="765" spans="9:9">
      <c r="I765" s="66"/>
    </row>
    <row r="766" spans="9:9">
      <c r="I766" s="66"/>
    </row>
    <row r="767" spans="9:9">
      <c r="I767" s="66"/>
    </row>
    <row r="768" spans="9:9">
      <c r="I768" s="66"/>
    </row>
    <row r="769" spans="9:9">
      <c r="I769" s="66"/>
    </row>
    <row r="770" spans="9:9">
      <c r="I770" s="66"/>
    </row>
    <row r="771" spans="9:9">
      <c r="I771" s="66"/>
    </row>
    <row r="772" spans="9:9">
      <c r="I772" s="66"/>
    </row>
    <row r="773" spans="9:9">
      <c r="I773" s="66"/>
    </row>
    <row r="774" spans="9:9">
      <c r="I774" s="66"/>
    </row>
    <row r="775" spans="9:9">
      <c r="I775" s="66"/>
    </row>
    <row r="776" spans="9:9">
      <c r="I776" s="66"/>
    </row>
    <row r="777" spans="9:9">
      <c r="I777" s="66"/>
    </row>
    <row r="778" spans="9:9">
      <c r="I778" s="66"/>
    </row>
    <row r="779" spans="9:9">
      <c r="I779" s="66"/>
    </row>
    <row r="780" spans="9:9">
      <c r="I780" s="66"/>
    </row>
    <row r="781" spans="9:9">
      <c r="I781" s="66"/>
    </row>
    <row r="782" spans="9:9">
      <c r="I782" s="66"/>
    </row>
    <row r="783" spans="9:9">
      <c r="I783" s="66"/>
    </row>
    <row r="784" spans="9:9">
      <c r="I784" s="66"/>
    </row>
    <row r="785" spans="9:9">
      <c r="I785" s="66"/>
    </row>
    <row r="786" spans="9:9">
      <c r="I786" s="66"/>
    </row>
    <row r="787" spans="9:9">
      <c r="I787" s="66"/>
    </row>
    <row r="788" spans="9:9">
      <c r="I788" s="66"/>
    </row>
    <row r="789" spans="9:9">
      <c r="I789" s="66"/>
    </row>
    <row r="790" spans="9:9">
      <c r="I790" s="66"/>
    </row>
    <row r="791" spans="9:9">
      <c r="I791" s="66"/>
    </row>
    <row r="792" spans="9:9">
      <c r="I792" s="66"/>
    </row>
    <row r="793" spans="9:9">
      <c r="I793" s="66"/>
    </row>
    <row r="794" spans="9:9">
      <c r="I794" s="66"/>
    </row>
    <row r="795" spans="9:9">
      <c r="I795" s="66"/>
    </row>
    <row r="796" spans="9:9">
      <c r="I796" s="66"/>
    </row>
    <row r="797" spans="9:9">
      <c r="I797" s="66"/>
    </row>
    <row r="798" spans="9:9">
      <c r="I798" s="66"/>
    </row>
    <row r="799" spans="9:9">
      <c r="I799" s="66"/>
    </row>
    <row r="800" spans="9:9">
      <c r="I800" s="66"/>
    </row>
    <row r="801" spans="9:9">
      <c r="I801" s="66"/>
    </row>
    <row r="802" spans="9:9">
      <c r="I802" s="66"/>
    </row>
    <row r="803" spans="9:9">
      <c r="I803" s="66"/>
    </row>
    <row r="804" spans="9:9">
      <c r="I804" s="66"/>
    </row>
    <row r="805" spans="9:9">
      <c r="I805" s="66"/>
    </row>
    <row r="806" spans="9:9">
      <c r="I806" s="66"/>
    </row>
    <row r="807" spans="9:9">
      <c r="I807" s="66"/>
    </row>
    <row r="808" spans="9:9">
      <c r="I808" s="66"/>
    </row>
    <row r="809" spans="9:9">
      <c r="I809" s="66"/>
    </row>
    <row r="810" spans="9:9">
      <c r="I810" s="66"/>
    </row>
    <row r="811" spans="9:9">
      <c r="I811" s="66"/>
    </row>
    <row r="812" spans="9:9">
      <c r="I812" s="66"/>
    </row>
    <row r="813" spans="9:9">
      <c r="I813" s="66"/>
    </row>
    <row r="814" spans="9:9">
      <c r="I814" s="66"/>
    </row>
    <row r="815" spans="9:9">
      <c r="I815" s="66"/>
    </row>
    <row r="816" spans="9:9">
      <c r="I816" s="66"/>
    </row>
    <row r="817" spans="9:9">
      <c r="I817" s="66"/>
    </row>
    <row r="818" spans="9:9">
      <c r="I818" s="66"/>
    </row>
    <row r="819" spans="9:9">
      <c r="I819" s="66"/>
    </row>
    <row r="820" spans="9:9">
      <c r="I820" s="66"/>
    </row>
    <row r="821" spans="9:9">
      <c r="I821" s="66"/>
    </row>
    <row r="822" spans="9:9">
      <c r="I822" s="66"/>
    </row>
    <row r="823" spans="9:9">
      <c r="I823" s="66"/>
    </row>
    <row r="824" spans="9:9">
      <c r="I824" s="66"/>
    </row>
    <row r="825" spans="9:9">
      <c r="I825" s="66"/>
    </row>
    <row r="826" spans="9:9">
      <c r="I826" s="66"/>
    </row>
    <row r="827" spans="9:9">
      <c r="I827" s="66"/>
    </row>
    <row r="828" spans="9:9">
      <c r="I828" s="66"/>
    </row>
    <row r="829" spans="9:9">
      <c r="I829" s="66"/>
    </row>
    <row r="830" spans="9:9">
      <c r="I830" s="66"/>
    </row>
    <row r="831" spans="9:9">
      <c r="I831" s="66"/>
    </row>
    <row r="832" spans="9:9">
      <c r="I832" s="66"/>
    </row>
    <row r="833" spans="9:9">
      <c r="I833" s="66"/>
    </row>
    <row r="834" spans="9:9">
      <c r="I834" s="66"/>
    </row>
    <row r="835" spans="9:9">
      <c r="I835" s="66"/>
    </row>
    <row r="836" spans="9:9">
      <c r="I836" s="66"/>
    </row>
    <row r="837" spans="9:9">
      <c r="I837" s="66"/>
    </row>
    <row r="838" spans="9:9">
      <c r="I838" s="66"/>
    </row>
    <row r="839" spans="9:9">
      <c r="I839" s="66"/>
    </row>
    <row r="840" spans="9:9">
      <c r="I840" s="66"/>
    </row>
    <row r="841" spans="9:9">
      <c r="I841" s="66"/>
    </row>
    <row r="842" spans="9:9">
      <c r="I842" s="66"/>
    </row>
    <row r="843" spans="9:9">
      <c r="I843" s="66"/>
    </row>
    <row r="844" spans="9:9">
      <c r="I844" s="66"/>
    </row>
    <row r="845" spans="9:9">
      <c r="I845" s="66"/>
    </row>
    <row r="846" spans="9:9">
      <c r="I846" s="66"/>
    </row>
    <row r="847" spans="9:9">
      <c r="I847" s="66"/>
    </row>
    <row r="848" spans="9:9">
      <c r="I848" s="66"/>
    </row>
    <row r="849" spans="9:9">
      <c r="I849" s="66"/>
    </row>
    <row r="850" spans="9:9">
      <c r="I850" s="66"/>
    </row>
    <row r="851" spans="9:9">
      <c r="I851" s="66"/>
    </row>
    <row r="852" spans="9:9">
      <c r="I852" s="66"/>
    </row>
    <row r="853" spans="9:9">
      <c r="I853" s="66"/>
    </row>
    <row r="854" spans="9:9">
      <c r="I854" s="66"/>
    </row>
    <row r="855" spans="9:9">
      <c r="I855" s="66"/>
    </row>
    <row r="856" spans="9:9">
      <c r="I856" s="66"/>
    </row>
    <row r="857" spans="9:9">
      <c r="I857" s="66"/>
    </row>
    <row r="858" spans="9:9">
      <c r="I858" s="66"/>
    </row>
    <row r="859" spans="9:9">
      <c r="I859" s="66"/>
    </row>
    <row r="860" spans="9:9">
      <c r="I860" s="66"/>
    </row>
    <row r="861" spans="9:9">
      <c r="I861" s="66"/>
    </row>
    <row r="862" spans="9:9">
      <c r="I862" s="66"/>
    </row>
    <row r="863" spans="9:9">
      <c r="I863" s="66"/>
    </row>
    <row r="864" spans="9:9">
      <c r="I864" s="66"/>
    </row>
    <row r="865" spans="9:9">
      <c r="I865" s="66"/>
    </row>
    <row r="866" spans="9:9">
      <c r="I866" s="66"/>
    </row>
    <row r="867" spans="9:9">
      <c r="I867" s="66"/>
    </row>
    <row r="868" spans="9:9">
      <c r="I868" s="66"/>
    </row>
    <row r="869" spans="9:9">
      <c r="I869" s="66"/>
    </row>
    <row r="870" spans="9:9">
      <c r="I870" s="66"/>
    </row>
    <row r="871" spans="9:9">
      <c r="I871" s="66"/>
    </row>
    <row r="872" spans="9:9">
      <c r="I872" s="66"/>
    </row>
    <row r="873" spans="9:9">
      <c r="I873" s="66"/>
    </row>
    <row r="874" spans="9:9">
      <c r="I874" s="66"/>
    </row>
    <row r="875" spans="9:9">
      <c r="I875" s="66"/>
    </row>
    <row r="876" spans="9:9">
      <c r="I876" s="66"/>
    </row>
    <row r="877" spans="9:9">
      <c r="I877" s="66"/>
    </row>
    <row r="878" spans="9:9">
      <c r="I878" s="66"/>
    </row>
    <row r="879" spans="9:9">
      <c r="I879" s="66"/>
    </row>
    <row r="880" spans="9:9">
      <c r="I880" s="66"/>
    </row>
    <row r="881" spans="9:9">
      <c r="I881" s="66"/>
    </row>
    <row r="882" spans="9:9">
      <c r="I882" s="66"/>
    </row>
    <row r="883" spans="9:9">
      <c r="I883" s="66"/>
    </row>
    <row r="884" spans="9:9">
      <c r="I884" s="66"/>
    </row>
    <row r="885" spans="9:9">
      <c r="I885" s="66"/>
    </row>
    <row r="886" spans="9:9">
      <c r="I886" s="66"/>
    </row>
    <row r="887" spans="9:9">
      <c r="I887" s="66"/>
    </row>
    <row r="888" spans="9:9">
      <c r="I888" s="66"/>
    </row>
    <row r="889" spans="9:9">
      <c r="I889" s="66"/>
    </row>
    <row r="890" spans="9:9">
      <c r="I890" s="66"/>
    </row>
    <row r="891" spans="9:9">
      <c r="I891" s="66"/>
    </row>
    <row r="892" spans="9:9">
      <c r="I892" s="66"/>
    </row>
    <row r="893" spans="9:9">
      <c r="I893" s="66"/>
    </row>
    <row r="894" spans="9:9">
      <c r="I894" s="66"/>
    </row>
    <row r="895" spans="9:9">
      <c r="I895" s="66"/>
    </row>
    <row r="896" spans="9:9">
      <c r="I896" s="66"/>
    </row>
    <row r="897" spans="9:9">
      <c r="I897" s="66"/>
    </row>
    <row r="898" spans="9:9">
      <c r="I898" s="66"/>
    </row>
    <row r="899" spans="9:9">
      <c r="I899" s="66"/>
    </row>
    <row r="900" spans="9:9">
      <c r="I900" s="66"/>
    </row>
    <row r="901" spans="9:9">
      <c r="I901" s="66"/>
    </row>
    <row r="902" spans="9:9">
      <c r="I902" s="66"/>
    </row>
    <row r="903" spans="9:9">
      <c r="I903" s="66"/>
    </row>
    <row r="904" spans="9:9">
      <c r="I904" s="66"/>
    </row>
    <row r="905" spans="9:9">
      <c r="I905" s="66"/>
    </row>
    <row r="906" spans="9:9">
      <c r="I906" s="66"/>
    </row>
    <row r="907" spans="9:9">
      <c r="I907" s="66"/>
    </row>
    <row r="908" spans="9:9">
      <c r="I908" s="66"/>
    </row>
    <row r="909" spans="9:9">
      <c r="I909" s="66"/>
    </row>
    <row r="910" spans="9:9">
      <c r="I910" s="66"/>
    </row>
    <row r="911" spans="9:9">
      <c r="I911" s="66"/>
    </row>
    <row r="912" spans="9:9">
      <c r="I912" s="66"/>
    </row>
    <row r="913" spans="9:9">
      <c r="I913" s="66"/>
    </row>
    <row r="914" spans="9:9">
      <c r="I914" s="66"/>
    </row>
    <row r="915" spans="9:9">
      <c r="I915" s="66"/>
    </row>
    <row r="916" spans="9:9">
      <c r="I916" s="66"/>
    </row>
    <row r="917" spans="9:9">
      <c r="I917" s="66"/>
    </row>
    <row r="918" spans="9:9">
      <c r="I918" s="66"/>
    </row>
    <row r="919" spans="9:9">
      <c r="I919" s="66"/>
    </row>
    <row r="920" spans="9:9">
      <c r="I920" s="66"/>
    </row>
    <row r="921" spans="9:9">
      <c r="I921" s="66"/>
    </row>
    <row r="922" spans="9:9">
      <c r="I922" s="66"/>
    </row>
    <row r="923" spans="9:9">
      <c r="I923" s="66"/>
    </row>
    <row r="924" spans="9:9">
      <c r="I924" s="66"/>
    </row>
    <row r="925" spans="9:9">
      <c r="I925" s="66"/>
    </row>
    <row r="926" spans="9:9">
      <c r="I926" s="66"/>
    </row>
    <row r="927" spans="9:9">
      <c r="I927" s="66"/>
    </row>
    <row r="928" spans="9:9">
      <c r="I928" s="66"/>
    </row>
    <row r="929" spans="9:9">
      <c r="I929" s="66"/>
    </row>
    <row r="930" spans="9:9">
      <c r="I930" s="66"/>
    </row>
    <row r="931" spans="9:9">
      <c r="I931" s="66"/>
    </row>
    <row r="932" spans="9:9">
      <c r="I932" s="66"/>
    </row>
    <row r="933" spans="9:9">
      <c r="I933" s="66"/>
    </row>
    <row r="934" spans="9:9">
      <c r="I934" s="66"/>
    </row>
    <row r="935" spans="9:9">
      <c r="I935" s="66"/>
    </row>
    <row r="936" spans="9:9">
      <c r="I936" s="66"/>
    </row>
    <row r="937" spans="9:9">
      <c r="I937" s="66"/>
    </row>
    <row r="938" spans="9:9">
      <c r="I938" s="66"/>
    </row>
    <row r="939" spans="9:9">
      <c r="I939" s="66"/>
    </row>
    <row r="940" spans="9:9">
      <c r="I940" s="66"/>
    </row>
    <row r="941" spans="9:9">
      <c r="I941" s="66"/>
    </row>
    <row r="942" spans="9:9">
      <c r="I942" s="66"/>
    </row>
    <row r="943" spans="9:9">
      <c r="I943" s="66"/>
    </row>
    <row r="944" spans="9:9">
      <c r="I944" s="66"/>
    </row>
    <row r="945" spans="9:9">
      <c r="I945" s="66"/>
    </row>
    <row r="946" spans="9:9">
      <c r="I946" s="66"/>
    </row>
    <row r="947" spans="9:9">
      <c r="I947" s="66"/>
    </row>
    <row r="948" spans="9:9">
      <c r="I948" s="66"/>
    </row>
    <row r="949" spans="9:9">
      <c r="I949" s="66"/>
    </row>
    <row r="950" spans="9:9">
      <c r="I950" s="66"/>
    </row>
    <row r="951" spans="9:9">
      <c r="I951" s="66"/>
    </row>
    <row r="952" spans="9:9">
      <c r="I952" s="66"/>
    </row>
    <row r="953" spans="9:9">
      <c r="I953" s="66"/>
    </row>
    <row r="954" spans="9:9">
      <c r="I954" s="66"/>
    </row>
    <row r="955" spans="9:9">
      <c r="I955" s="66"/>
    </row>
    <row r="956" spans="9:9">
      <c r="I956" s="66"/>
    </row>
    <row r="957" spans="9:9">
      <c r="I957" s="66"/>
    </row>
    <row r="958" spans="9:9">
      <c r="I958" s="66"/>
    </row>
    <row r="959" spans="9:9">
      <c r="I959" s="66"/>
    </row>
    <row r="960" spans="9:9">
      <c r="I960" s="66"/>
    </row>
    <row r="961" spans="9:9">
      <c r="I961" s="66"/>
    </row>
    <row r="962" spans="9:9">
      <c r="I962" s="66"/>
    </row>
    <row r="963" spans="9:9">
      <c r="I963" s="66"/>
    </row>
    <row r="964" spans="9:9">
      <c r="I964" s="66"/>
    </row>
    <row r="965" spans="9:9">
      <c r="I965" s="66"/>
    </row>
    <row r="966" spans="9:9">
      <c r="I966" s="66"/>
    </row>
    <row r="967" spans="9:9">
      <c r="I967" s="66"/>
    </row>
    <row r="968" spans="9:9">
      <c r="I968" s="66"/>
    </row>
    <row r="969" spans="9:9">
      <c r="I969" s="66"/>
    </row>
    <row r="970" spans="9:9">
      <c r="I970" s="66"/>
    </row>
    <row r="971" spans="9:9">
      <c r="I971" s="66"/>
    </row>
    <row r="972" spans="9:9">
      <c r="I972" s="66"/>
    </row>
    <row r="973" spans="9:9">
      <c r="I973" s="66"/>
    </row>
    <row r="974" spans="9:9">
      <c r="I974" s="66"/>
    </row>
    <row r="975" spans="9:9">
      <c r="I975" s="66"/>
    </row>
    <row r="976" spans="9:9">
      <c r="I976" s="66"/>
    </row>
    <row r="977" spans="9:9">
      <c r="I977" s="66"/>
    </row>
    <row r="978" spans="9:9">
      <c r="I978" s="66"/>
    </row>
    <row r="979" spans="9:9">
      <c r="I979" s="66"/>
    </row>
    <row r="980" spans="9:9">
      <c r="I980" s="66"/>
    </row>
    <row r="981" spans="9:9">
      <c r="I981" s="66"/>
    </row>
    <row r="982" spans="9:9">
      <c r="I982" s="66"/>
    </row>
    <row r="983" spans="9:9">
      <c r="I983" s="66"/>
    </row>
    <row r="984" spans="9:9">
      <c r="I984" s="66"/>
    </row>
    <row r="985" spans="9:9">
      <c r="I985" s="66"/>
    </row>
    <row r="986" spans="9:9">
      <c r="I986" s="66"/>
    </row>
    <row r="987" spans="9:9">
      <c r="I987" s="66"/>
    </row>
    <row r="988" spans="9:9">
      <c r="I988" s="66"/>
    </row>
    <row r="989" spans="9:9">
      <c r="I989" s="66"/>
    </row>
    <row r="990" spans="9:9">
      <c r="I990" s="66"/>
    </row>
    <row r="991" spans="9:9">
      <c r="I991" s="66"/>
    </row>
    <row r="992" spans="9:9">
      <c r="I992" s="66"/>
    </row>
    <row r="993" spans="9:9">
      <c r="I993" s="66"/>
    </row>
    <row r="994" spans="9:9">
      <c r="I994" s="66"/>
    </row>
    <row r="995" spans="9:9">
      <c r="I995" s="66"/>
    </row>
    <row r="996" spans="9:9">
      <c r="I996" s="66"/>
    </row>
    <row r="997" spans="9:9">
      <c r="I997" s="66"/>
    </row>
    <row r="998" spans="9:9">
      <c r="I998" s="66"/>
    </row>
    <row r="999" spans="9:9">
      <c r="I999" s="66"/>
    </row>
    <row r="1000" spans="9:9">
      <c r="I1000" s="66"/>
    </row>
  </sheetData>
  <conditionalFormatting sqref="A1:H76 A81:H81 A596:H1048576">
    <cfRule type="expression" dxfId="7" priority="7">
      <formula>MOD(ROW(),2)=0</formula>
    </cfRule>
  </conditionalFormatting>
  <conditionalFormatting sqref="A2:H76">
    <cfRule type="expression" dxfId="6" priority="4">
      <formula>MOD(ROW(),2)=1</formula>
    </cfRule>
    <cfRule type="expression" priority="6">
      <formula>MOD(ROW(),2)=1</formula>
    </cfRule>
  </conditionalFormatting>
  <conditionalFormatting sqref="C12">
    <cfRule type="expression" dxfId="5" priority="8">
      <formula>MOD(ROW(),2)=0</formula>
    </cfRule>
  </conditionalFormatting>
  <conditionalFormatting sqref="G3">
    <cfRule type="expression" dxfId="4" priority="5">
      <formula>MOD(ROW(),2)=1</formula>
    </cfRule>
  </conditionalFormatting>
  <conditionalFormatting sqref="I2:I76">
    <cfRule type="expression" dxfId="0" priority="1">
      <formula>MOD(ROW(),2)=1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D7A21-64CC-466C-AFAC-B74FE98F6E8F}">
  <dimension ref="A1:K56"/>
  <sheetViews>
    <sheetView zoomScale="86" zoomScaleNormal="86" workbookViewId="0">
      <selection activeCell="K57" sqref="K57"/>
    </sheetView>
  </sheetViews>
  <sheetFormatPr defaultRowHeight="14.5"/>
  <cols>
    <col min="2" max="2" width="16" customWidth="1"/>
    <col min="3" max="3" width="15.1796875" customWidth="1"/>
    <col min="4" max="4" width="16.7265625" customWidth="1"/>
    <col min="6" max="6" width="12.1796875" customWidth="1"/>
    <col min="7" max="7" width="10.7265625" customWidth="1"/>
    <col min="8" max="8" width="20.1796875" customWidth="1"/>
    <col min="9" max="9" width="24.54296875" customWidth="1"/>
    <col min="10" max="10" width="7.08984375" customWidth="1"/>
    <col min="11" max="11" width="18.453125" customWidth="1"/>
  </cols>
  <sheetData>
    <row r="1" spans="1:11">
      <c r="A1" s="61" t="s">
        <v>323</v>
      </c>
      <c r="B1" s="61" t="s">
        <v>324</v>
      </c>
      <c r="C1" s="61" t="s">
        <v>325</v>
      </c>
      <c r="D1" s="61" t="s">
        <v>326</v>
      </c>
      <c r="E1" s="61" t="s">
        <v>2</v>
      </c>
      <c r="F1" s="61" t="s">
        <v>327</v>
      </c>
      <c r="G1" s="61" t="s">
        <v>328</v>
      </c>
      <c r="H1" s="61" t="s">
        <v>329</v>
      </c>
      <c r="I1" s="61" t="s">
        <v>330</v>
      </c>
      <c r="J1" s="61" t="s">
        <v>305</v>
      </c>
      <c r="K1" s="61" t="s">
        <v>436</v>
      </c>
    </row>
    <row r="2" spans="1:11">
      <c r="A2" s="62" t="s">
        <v>476</v>
      </c>
      <c r="B2" s="62" t="s">
        <v>476</v>
      </c>
      <c r="C2" s="62" t="s">
        <v>477</v>
      </c>
      <c r="D2" s="62">
        <v>84.5</v>
      </c>
      <c r="E2" s="62" t="s">
        <v>11</v>
      </c>
      <c r="F2" s="62">
        <v>349</v>
      </c>
      <c r="G2" s="62" t="s">
        <v>136</v>
      </c>
      <c r="H2" s="62">
        <v>10</v>
      </c>
      <c r="I2" s="62" t="s">
        <v>478</v>
      </c>
      <c r="J2" s="62" t="s">
        <v>315</v>
      </c>
      <c r="K2" s="62">
        <f>F2*D2</f>
        <v>29490.5</v>
      </c>
    </row>
    <row r="3" spans="1:11">
      <c r="A3" s="63" t="s">
        <v>331</v>
      </c>
      <c r="B3" s="63" t="s">
        <v>124</v>
      </c>
      <c r="C3" s="63" t="s">
        <v>332</v>
      </c>
      <c r="D3" s="63">
        <v>12.2</v>
      </c>
      <c r="E3" s="63" t="s">
        <v>10</v>
      </c>
      <c r="F3" s="63">
        <v>374</v>
      </c>
      <c r="G3" s="63" t="s">
        <v>118</v>
      </c>
      <c r="H3" s="63">
        <v>0</v>
      </c>
      <c r="I3" s="63" t="s">
        <v>333</v>
      </c>
      <c r="J3" s="63" t="s">
        <v>315</v>
      </c>
      <c r="K3" s="63">
        <f>F3*D3</f>
        <v>4562.8</v>
      </c>
    </row>
    <row r="4" spans="1:11">
      <c r="A4" s="63" t="s">
        <v>334</v>
      </c>
      <c r="B4" s="63" t="s">
        <v>126</v>
      </c>
      <c r="C4" s="63" t="s">
        <v>335</v>
      </c>
      <c r="D4" s="63">
        <v>24.2</v>
      </c>
      <c r="E4" s="63" t="s">
        <v>11</v>
      </c>
      <c r="F4" s="63">
        <v>249</v>
      </c>
      <c r="G4" s="63" t="s">
        <v>136</v>
      </c>
      <c r="H4" s="63">
        <v>10</v>
      </c>
      <c r="I4" s="63" t="s">
        <v>333</v>
      </c>
      <c r="J4" s="63" t="s">
        <v>315</v>
      </c>
      <c r="K4" s="63">
        <f t="shared" ref="K4:K8" si="0">F4*D4</f>
        <v>6025.8</v>
      </c>
    </row>
    <row r="5" spans="1:11">
      <c r="A5" s="63" t="s">
        <v>336</v>
      </c>
      <c r="B5" s="63" t="s">
        <v>337</v>
      </c>
      <c r="C5" s="63" t="s">
        <v>338</v>
      </c>
      <c r="D5" s="63">
        <v>47.2</v>
      </c>
      <c r="E5" s="63" t="s">
        <v>10</v>
      </c>
      <c r="F5" s="63">
        <v>189</v>
      </c>
      <c r="G5" s="63" t="s">
        <v>136</v>
      </c>
      <c r="H5" s="63">
        <v>0</v>
      </c>
      <c r="I5" s="63" t="s">
        <v>339</v>
      </c>
      <c r="J5" s="63" t="s">
        <v>315</v>
      </c>
      <c r="K5" s="63">
        <f t="shared" si="0"/>
        <v>8920.8000000000011</v>
      </c>
    </row>
    <row r="6" spans="1:11">
      <c r="A6" s="63" t="s">
        <v>340</v>
      </c>
      <c r="B6" s="63" t="s">
        <v>141</v>
      </c>
      <c r="C6" s="63" t="s">
        <v>341</v>
      </c>
      <c r="D6" s="63">
        <v>2.9</v>
      </c>
      <c r="E6" s="63" t="s">
        <v>10</v>
      </c>
      <c r="F6" s="63">
        <v>519</v>
      </c>
      <c r="G6" s="63" t="s">
        <v>136</v>
      </c>
      <c r="H6" s="63">
        <v>10</v>
      </c>
      <c r="I6" s="63" t="s">
        <v>333</v>
      </c>
      <c r="J6" s="63" t="s">
        <v>315</v>
      </c>
      <c r="K6" s="63">
        <f t="shared" si="0"/>
        <v>1505.1</v>
      </c>
    </row>
    <row r="7" spans="1:11">
      <c r="A7" s="63" t="s">
        <v>342</v>
      </c>
      <c r="B7" s="63" t="s">
        <v>146</v>
      </c>
      <c r="C7" s="63" t="s">
        <v>343</v>
      </c>
      <c r="D7" s="63">
        <v>5</v>
      </c>
      <c r="E7" s="63" t="s">
        <v>10</v>
      </c>
      <c r="F7" s="63">
        <v>599</v>
      </c>
      <c r="G7" s="63" t="s">
        <v>136</v>
      </c>
      <c r="H7" s="63">
        <v>15</v>
      </c>
      <c r="I7" s="63" t="s">
        <v>333</v>
      </c>
      <c r="J7" s="63" t="s">
        <v>315</v>
      </c>
      <c r="K7" s="63">
        <f t="shared" si="0"/>
        <v>2995</v>
      </c>
    </row>
    <row r="8" spans="1:11">
      <c r="A8" s="63" t="s">
        <v>344</v>
      </c>
      <c r="B8" s="63" t="s">
        <v>148</v>
      </c>
      <c r="C8" s="63" t="s">
        <v>345</v>
      </c>
      <c r="D8" s="63">
        <v>5.6</v>
      </c>
      <c r="E8" s="63" t="s">
        <v>10</v>
      </c>
      <c r="F8" s="63">
        <v>398</v>
      </c>
      <c r="G8" s="63" t="s">
        <v>136</v>
      </c>
      <c r="H8" s="63">
        <v>10</v>
      </c>
      <c r="I8" s="63" t="s">
        <v>333</v>
      </c>
      <c r="J8" s="63" t="s">
        <v>315</v>
      </c>
      <c r="K8" s="63">
        <f t="shared" si="0"/>
        <v>2228.7999999999997</v>
      </c>
    </row>
    <row r="9" spans="1:11">
      <c r="A9" s="62" t="s">
        <v>476</v>
      </c>
      <c r="B9" s="62" t="s">
        <v>476</v>
      </c>
      <c r="C9" s="62" t="s">
        <v>479</v>
      </c>
      <c r="D9" s="62">
        <v>2.4</v>
      </c>
      <c r="E9" s="62" t="s">
        <v>16</v>
      </c>
      <c r="F9" s="62">
        <v>563</v>
      </c>
      <c r="G9" s="62" t="s">
        <v>136</v>
      </c>
      <c r="H9" s="62">
        <v>5</v>
      </c>
      <c r="I9" s="62" t="s">
        <v>478</v>
      </c>
      <c r="J9" s="62" t="s">
        <v>315</v>
      </c>
      <c r="K9" s="62">
        <f>F9*D9</f>
        <v>1351.2</v>
      </c>
    </row>
    <row r="10" spans="1:11">
      <c r="A10" s="63" t="s">
        <v>346</v>
      </c>
      <c r="B10" s="63" t="s">
        <v>337</v>
      </c>
      <c r="C10" s="63" t="s">
        <v>347</v>
      </c>
      <c r="D10" s="63">
        <v>57.6</v>
      </c>
      <c r="E10" s="63" t="s">
        <v>11</v>
      </c>
      <c r="F10" s="63">
        <v>375</v>
      </c>
      <c r="G10" s="63" t="s">
        <v>118</v>
      </c>
      <c r="H10" s="63">
        <v>12</v>
      </c>
      <c r="I10" s="63" t="s">
        <v>339</v>
      </c>
      <c r="J10" s="63" t="s">
        <v>315</v>
      </c>
      <c r="K10" s="63">
        <f>F10*D10</f>
        <v>21600</v>
      </c>
    </row>
    <row r="11" spans="1:11">
      <c r="A11" s="63" t="s">
        <v>348</v>
      </c>
      <c r="B11" s="63" t="s">
        <v>154</v>
      </c>
      <c r="C11" s="63" t="s">
        <v>349</v>
      </c>
      <c r="D11" s="63">
        <v>34.299999999999997</v>
      </c>
      <c r="E11" s="63" t="s">
        <v>11</v>
      </c>
      <c r="F11" s="63">
        <v>469</v>
      </c>
      <c r="G11" s="63" t="s">
        <v>118</v>
      </c>
      <c r="H11" s="63">
        <v>0</v>
      </c>
      <c r="I11" s="63" t="s">
        <v>333</v>
      </c>
      <c r="J11" s="63" t="s">
        <v>315</v>
      </c>
      <c r="K11" s="63">
        <f>F11*D11</f>
        <v>16086.699999999999</v>
      </c>
    </row>
    <row r="12" spans="1:11">
      <c r="A12" s="62" t="s">
        <v>476</v>
      </c>
      <c r="B12" s="62" t="s">
        <v>476</v>
      </c>
      <c r="C12" s="62" t="s">
        <v>480</v>
      </c>
      <c r="D12" s="62">
        <v>3.1</v>
      </c>
      <c r="E12" s="62" t="s">
        <v>16</v>
      </c>
      <c r="F12" s="62">
        <v>220</v>
      </c>
      <c r="G12" s="62" t="s">
        <v>136</v>
      </c>
      <c r="H12" s="62">
        <v>10</v>
      </c>
      <c r="I12" s="62" t="s">
        <v>478</v>
      </c>
      <c r="J12" s="62" t="s">
        <v>315</v>
      </c>
      <c r="K12" s="62">
        <f>F12*D12</f>
        <v>682</v>
      </c>
    </row>
    <row r="13" spans="1:11">
      <c r="A13" s="62" t="s">
        <v>476</v>
      </c>
      <c r="B13" s="62" t="s">
        <v>476</v>
      </c>
      <c r="C13" s="62" t="s">
        <v>481</v>
      </c>
      <c r="D13" s="62">
        <v>98.6</v>
      </c>
      <c r="E13" s="62" t="s">
        <v>10</v>
      </c>
      <c r="F13" s="62">
        <v>220</v>
      </c>
      <c r="G13" s="62" t="s">
        <v>136</v>
      </c>
      <c r="H13" s="62">
        <v>20</v>
      </c>
      <c r="I13" s="62" t="s">
        <v>478</v>
      </c>
      <c r="J13" s="62" t="s">
        <v>315</v>
      </c>
      <c r="K13" s="62">
        <f t="shared" ref="K13:K14" si="1">F13*D13</f>
        <v>21692</v>
      </c>
    </row>
    <row r="14" spans="1:11">
      <c r="A14" s="62" t="s">
        <v>476</v>
      </c>
      <c r="B14" s="62" t="s">
        <v>476</v>
      </c>
      <c r="C14" s="62" t="s">
        <v>482</v>
      </c>
      <c r="D14" s="62">
        <v>4.5</v>
      </c>
      <c r="E14" s="62" t="s">
        <v>10</v>
      </c>
      <c r="F14" s="62">
        <v>349</v>
      </c>
      <c r="G14" s="62" t="s">
        <v>118</v>
      </c>
      <c r="H14" s="62">
        <v>0</v>
      </c>
      <c r="I14" s="62" t="s">
        <v>478</v>
      </c>
      <c r="J14" s="62" t="s">
        <v>315</v>
      </c>
      <c r="K14" s="62">
        <f t="shared" si="1"/>
        <v>1570.5</v>
      </c>
    </row>
    <row r="15" spans="1:11">
      <c r="A15" s="63" t="s">
        <v>350</v>
      </c>
      <c r="B15" s="63" t="s">
        <v>170</v>
      </c>
      <c r="C15" s="63" t="s">
        <v>351</v>
      </c>
      <c r="D15" s="63">
        <v>4.5</v>
      </c>
      <c r="E15" s="63" t="s">
        <v>16</v>
      </c>
      <c r="F15" s="63">
        <v>279</v>
      </c>
      <c r="G15" s="63" t="s">
        <v>136</v>
      </c>
      <c r="H15" s="63">
        <v>10</v>
      </c>
      <c r="I15" s="63" t="s">
        <v>333</v>
      </c>
      <c r="J15" s="63" t="s">
        <v>317</v>
      </c>
      <c r="K15" s="63">
        <f>F15*D15</f>
        <v>1255.5</v>
      </c>
    </row>
    <row r="16" spans="1:11">
      <c r="A16" s="63" t="s">
        <v>352</v>
      </c>
      <c r="B16" s="63" t="s">
        <v>174</v>
      </c>
      <c r="C16" s="63" t="s">
        <v>353</v>
      </c>
      <c r="D16" s="63">
        <v>47.5</v>
      </c>
      <c r="E16" s="63" t="s">
        <v>10</v>
      </c>
      <c r="F16" s="63">
        <v>548</v>
      </c>
      <c r="G16" s="63" t="s">
        <v>118</v>
      </c>
      <c r="H16" s="63">
        <v>0</v>
      </c>
      <c r="I16" s="63" t="s">
        <v>333</v>
      </c>
      <c r="J16" s="63" t="s">
        <v>317</v>
      </c>
      <c r="K16" s="63">
        <f t="shared" ref="K16:K17" si="2">F16*D16</f>
        <v>26030</v>
      </c>
    </row>
    <row r="17" spans="1:11">
      <c r="A17" s="63" t="s">
        <v>354</v>
      </c>
      <c r="B17" s="63" t="s">
        <v>176</v>
      </c>
      <c r="C17" s="63" t="s">
        <v>355</v>
      </c>
      <c r="D17" s="63">
        <v>25.7</v>
      </c>
      <c r="E17" s="63" t="s">
        <v>16</v>
      </c>
      <c r="F17" s="63">
        <v>398</v>
      </c>
      <c r="G17" s="63" t="s">
        <v>136</v>
      </c>
      <c r="H17" s="63">
        <v>10</v>
      </c>
      <c r="I17" s="63" t="s">
        <v>333</v>
      </c>
      <c r="J17" s="63" t="s">
        <v>317</v>
      </c>
      <c r="K17" s="63">
        <f t="shared" si="2"/>
        <v>10228.6</v>
      </c>
    </row>
    <row r="18" spans="1:11">
      <c r="A18" s="62" t="s">
        <v>476</v>
      </c>
      <c r="B18" s="62" t="s">
        <v>476</v>
      </c>
      <c r="C18" s="62" t="s">
        <v>483</v>
      </c>
      <c r="D18" s="62">
        <v>56.3</v>
      </c>
      <c r="E18" s="62" t="s">
        <v>10</v>
      </c>
      <c r="F18" s="62">
        <v>598</v>
      </c>
      <c r="G18" s="62" t="s">
        <v>136</v>
      </c>
      <c r="H18" s="62">
        <v>12</v>
      </c>
      <c r="I18" s="62" t="s">
        <v>478</v>
      </c>
      <c r="J18" s="62" t="s">
        <v>317</v>
      </c>
      <c r="K18" s="62">
        <f>F18*D18</f>
        <v>33667.4</v>
      </c>
    </row>
    <row r="19" spans="1:11">
      <c r="A19" s="63" t="s">
        <v>356</v>
      </c>
      <c r="B19" s="63" t="s">
        <v>178</v>
      </c>
      <c r="C19" s="63" t="s">
        <v>357</v>
      </c>
      <c r="D19" s="63">
        <v>2.8</v>
      </c>
      <c r="E19" s="63" t="s">
        <v>11</v>
      </c>
      <c r="F19" s="63">
        <v>903</v>
      </c>
      <c r="G19" s="63" t="s">
        <v>136</v>
      </c>
      <c r="H19" s="63">
        <v>7</v>
      </c>
      <c r="I19" s="63" t="s">
        <v>333</v>
      </c>
      <c r="J19" s="63" t="s">
        <v>317</v>
      </c>
      <c r="K19" s="63">
        <f>F19*D19</f>
        <v>2528.3999999999996</v>
      </c>
    </row>
    <row r="20" spans="1:11">
      <c r="A20" s="62" t="s">
        <v>476</v>
      </c>
      <c r="B20" s="62" t="s">
        <v>476</v>
      </c>
      <c r="C20" s="62" t="s">
        <v>484</v>
      </c>
      <c r="D20" s="62">
        <v>46.6</v>
      </c>
      <c r="E20" s="62" t="s">
        <v>11</v>
      </c>
      <c r="F20" s="62">
        <v>318</v>
      </c>
      <c r="G20" s="62" t="s">
        <v>136</v>
      </c>
      <c r="H20" s="62">
        <v>12</v>
      </c>
      <c r="I20" s="62" t="s">
        <v>478</v>
      </c>
      <c r="J20" s="62" t="s">
        <v>317</v>
      </c>
      <c r="K20" s="62">
        <f>F20*D20</f>
        <v>14818.800000000001</v>
      </c>
    </row>
    <row r="21" spans="1:11">
      <c r="A21" s="63" t="s">
        <v>358</v>
      </c>
      <c r="B21" s="63" t="s">
        <v>182</v>
      </c>
      <c r="C21" s="63" t="s">
        <v>359</v>
      </c>
      <c r="D21" s="63">
        <v>1.9</v>
      </c>
      <c r="E21" s="63" t="s">
        <v>11</v>
      </c>
      <c r="F21" s="63">
        <v>598</v>
      </c>
      <c r="G21" s="63" t="s">
        <v>136</v>
      </c>
      <c r="H21" s="63">
        <v>8</v>
      </c>
      <c r="I21" s="63" t="s">
        <v>333</v>
      </c>
      <c r="J21" s="63" t="s">
        <v>317</v>
      </c>
      <c r="K21" s="63">
        <f>F21*D21</f>
        <v>1136.2</v>
      </c>
    </row>
    <row r="22" spans="1:11">
      <c r="A22" s="62" t="s">
        <v>476</v>
      </c>
      <c r="B22" s="62" t="s">
        <v>476</v>
      </c>
      <c r="C22" s="62" t="s">
        <v>485</v>
      </c>
      <c r="D22" s="62">
        <v>2.9</v>
      </c>
      <c r="E22" s="62" t="s">
        <v>10</v>
      </c>
      <c r="F22" s="62">
        <v>598</v>
      </c>
      <c r="G22" s="62" t="s">
        <v>136</v>
      </c>
      <c r="H22" s="62">
        <v>15</v>
      </c>
      <c r="I22" s="62" t="s">
        <v>478</v>
      </c>
      <c r="J22" s="62" t="s">
        <v>317</v>
      </c>
      <c r="K22" s="62">
        <f>F22*D22</f>
        <v>1734.2</v>
      </c>
    </row>
    <row r="23" spans="1:11">
      <c r="A23" s="63" t="s">
        <v>360</v>
      </c>
      <c r="B23" s="63" t="s">
        <v>190</v>
      </c>
      <c r="C23" s="63" t="s">
        <v>361</v>
      </c>
      <c r="D23" s="63">
        <v>2.2999999999999998</v>
      </c>
      <c r="E23" s="63" t="s">
        <v>11</v>
      </c>
      <c r="F23" s="63">
        <v>249</v>
      </c>
      <c r="G23" s="63" t="s">
        <v>118</v>
      </c>
      <c r="H23" s="63">
        <v>0</v>
      </c>
      <c r="I23" s="63" t="s">
        <v>333</v>
      </c>
      <c r="J23" s="63" t="s">
        <v>317</v>
      </c>
      <c r="K23" s="63">
        <f>F23*D23</f>
        <v>572.69999999999993</v>
      </c>
    </row>
    <row r="24" spans="1:11">
      <c r="A24" s="63" t="s">
        <v>362</v>
      </c>
      <c r="B24" s="63" t="s">
        <v>337</v>
      </c>
      <c r="C24" s="63" t="s">
        <v>363</v>
      </c>
      <c r="D24" s="63">
        <v>28.6</v>
      </c>
      <c r="E24" s="63" t="s">
        <v>16</v>
      </c>
      <c r="F24" s="63">
        <v>318</v>
      </c>
      <c r="G24" s="63" t="s">
        <v>136</v>
      </c>
      <c r="H24" s="63">
        <v>5</v>
      </c>
      <c r="I24" s="63" t="s">
        <v>339</v>
      </c>
      <c r="J24" s="63" t="s">
        <v>317</v>
      </c>
      <c r="K24" s="63">
        <f>F24*D24</f>
        <v>9094.8000000000011</v>
      </c>
    </row>
    <row r="25" spans="1:11">
      <c r="A25" s="62" t="s">
        <v>476</v>
      </c>
      <c r="B25" s="62" t="s">
        <v>476</v>
      </c>
      <c r="C25" s="62" t="s">
        <v>486</v>
      </c>
      <c r="D25" s="62">
        <v>24.3</v>
      </c>
      <c r="E25" s="62" t="s">
        <v>10</v>
      </c>
      <c r="F25" s="62">
        <v>903</v>
      </c>
      <c r="G25" s="62" t="s">
        <v>136</v>
      </c>
      <c r="H25" s="62">
        <v>7</v>
      </c>
      <c r="I25" s="62" t="s">
        <v>478</v>
      </c>
      <c r="J25" s="62" t="s">
        <v>317</v>
      </c>
      <c r="K25" s="62">
        <f>F25*D25</f>
        <v>21942.9</v>
      </c>
    </row>
    <row r="26" spans="1:11">
      <c r="A26" s="62" t="s">
        <v>476</v>
      </c>
      <c r="B26" s="62" t="s">
        <v>476</v>
      </c>
      <c r="C26" s="62" t="s">
        <v>487</v>
      </c>
      <c r="D26" s="62">
        <v>39.4</v>
      </c>
      <c r="E26" s="62" t="s">
        <v>11</v>
      </c>
      <c r="F26" s="62">
        <v>1075</v>
      </c>
      <c r="G26" s="62" t="s">
        <v>118</v>
      </c>
      <c r="H26" s="62">
        <v>0</v>
      </c>
      <c r="I26" s="62" t="s">
        <v>478</v>
      </c>
      <c r="J26" s="62" t="s">
        <v>317</v>
      </c>
      <c r="K26" s="62">
        <f>F26*D26</f>
        <v>42355</v>
      </c>
    </row>
    <row r="27" spans="1:11">
      <c r="A27" s="63" t="s">
        <v>364</v>
      </c>
      <c r="B27" s="63" t="s">
        <v>223</v>
      </c>
      <c r="C27" s="63" t="s">
        <v>365</v>
      </c>
      <c r="D27" s="63">
        <v>19.899999999999999</v>
      </c>
      <c r="E27" s="63" t="s">
        <v>11</v>
      </c>
      <c r="F27" s="63">
        <v>349</v>
      </c>
      <c r="G27" s="63" t="s">
        <v>136</v>
      </c>
      <c r="H27" s="63">
        <v>5</v>
      </c>
      <c r="I27" s="63" t="s">
        <v>333</v>
      </c>
      <c r="J27" s="63" t="s">
        <v>317</v>
      </c>
      <c r="K27" s="63">
        <f>F27*D27</f>
        <v>6945.0999999999995</v>
      </c>
    </row>
    <row r="28" spans="1:11">
      <c r="A28" s="63" t="s">
        <v>366</v>
      </c>
      <c r="B28" s="63" t="s">
        <v>337</v>
      </c>
      <c r="C28" s="63" t="s">
        <v>367</v>
      </c>
      <c r="D28" s="63">
        <v>90.9</v>
      </c>
      <c r="E28" s="63" t="s">
        <v>11</v>
      </c>
      <c r="F28" s="63">
        <v>380</v>
      </c>
      <c r="G28" s="63" t="s">
        <v>136</v>
      </c>
      <c r="H28" s="63">
        <v>0</v>
      </c>
      <c r="I28" s="63" t="s">
        <v>339</v>
      </c>
      <c r="J28" s="63" t="s">
        <v>317</v>
      </c>
      <c r="K28" s="63">
        <f t="shared" ref="K28:K29" si="3">F28*D28</f>
        <v>34542</v>
      </c>
    </row>
    <row r="29" spans="1:11">
      <c r="A29" s="63" t="s">
        <v>368</v>
      </c>
      <c r="B29" s="63" t="s">
        <v>225</v>
      </c>
      <c r="C29" s="63" t="s">
        <v>369</v>
      </c>
      <c r="D29" s="63">
        <v>1.2</v>
      </c>
      <c r="E29" s="63" t="s">
        <v>11</v>
      </c>
      <c r="F29" s="63">
        <v>1075</v>
      </c>
      <c r="G29" s="63" t="s">
        <v>136</v>
      </c>
      <c r="H29" s="63">
        <v>10</v>
      </c>
      <c r="I29" s="63" t="s">
        <v>333</v>
      </c>
      <c r="J29" s="63" t="s">
        <v>317</v>
      </c>
      <c r="K29" s="63">
        <f t="shared" si="3"/>
        <v>1290</v>
      </c>
    </row>
    <row r="30" spans="1:11">
      <c r="A30" s="62" t="s">
        <v>476</v>
      </c>
      <c r="B30" s="62" t="s">
        <v>476</v>
      </c>
      <c r="C30" s="62" t="s">
        <v>488</v>
      </c>
      <c r="D30" s="62">
        <v>61.7</v>
      </c>
      <c r="E30" s="62" t="s">
        <v>10</v>
      </c>
      <c r="F30" s="62">
        <v>563</v>
      </c>
      <c r="G30" s="62" t="s">
        <v>136</v>
      </c>
      <c r="H30" s="62">
        <v>10</v>
      </c>
      <c r="I30" s="62" t="s">
        <v>478</v>
      </c>
      <c r="J30" s="62" t="s">
        <v>317</v>
      </c>
      <c r="K30" s="62">
        <f>F30*D30</f>
        <v>34737.1</v>
      </c>
    </row>
    <row r="31" spans="1:11">
      <c r="A31" s="63" t="s">
        <v>370</v>
      </c>
      <c r="B31" s="63" t="s">
        <v>231</v>
      </c>
      <c r="C31" s="63" t="s">
        <v>371</v>
      </c>
      <c r="D31" s="63">
        <v>5.6</v>
      </c>
      <c r="E31" s="63" t="s">
        <v>19</v>
      </c>
      <c r="F31" s="63">
        <v>374</v>
      </c>
      <c r="G31" s="63" t="s">
        <v>136</v>
      </c>
      <c r="H31" s="63">
        <v>10</v>
      </c>
      <c r="I31" s="63" t="s">
        <v>333</v>
      </c>
      <c r="J31" s="63" t="s">
        <v>319</v>
      </c>
      <c r="K31" s="63">
        <f>F31*D31</f>
        <v>2094.4</v>
      </c>
    </row>
    <row r="32" spans="1:11">
      <c r="A32" s="63" t="s">
        <v>372</v>
      </c>
      <c r="B32" s="63" t="s">
        <v>337</v>
      </c>
      <c r="C32" s="63" t="s">
        <v>373</v>
      </c>
      <c r="D32" s="63">
        <v>85.9</v>
      </c>
      <c r="E32" s="63" t="s">
        <v>10</v>
      </c>
      <c r="F32" s="63">
        <v>220</v>
      </c>
      <c r="G32" s="63" t="s">
        <v>136</v>
      </c>
      <c r="H32" s="63">
        <v>0</v>
      </c>
      <c r="I32" s="63" t="s">
        <v>339</v>
      </c>
      <c r="J32" s="63" t="s">
        <v>319</v>
      </c>
      <c r="K32" s="63">
        <f>F32*D32</f>
        <v>18898</v>
      </c>
    </row>
    <row r="33" spans="1:11">
      <c r="A33" s="62" t="s">
        <v>476</v>
      </c>
      <c r="B33" s="62" t="s">
        <v>476</v>
      </c>
      <c r="C33" s="62" t="s">
        <v>489</v>
      </c>
      <c r="D33" s="62">
        <v>52.5</v>
      </c>
      <c r="E33" s="62" t="s">
        <v>10</v>
      </c>
      <c r="F33" s="62">
        <v>1075</v>
      </c>
      <c r="G33" s="62" t="s">
        <v>136</v>
      </c>
      <c r="H33" s="62">
        <v>15</v>
      </c>
      <c r="I33" s="62" t="s">
        <v>478</v>
      </c>
      <c r="J33" s="62" t="s">
        <v>319</v>
      </c>
      <c r="K33" s="62">
        <f>F33*D33</f>
        <v>56437.5</v>
      </c>
    </row>
    <row r="34" spans="1:11">
      <c r="A34" s="63" t="s">
        <v>374</v>
      </c>
      <c r="B34" s="63" t="s">
        <v>243</v>
      </c>
      <c r="C34" s="63" t="s">
        <v>375</v>
      </c>
      <c r="D34" s="63">
        <v>3.5</v>
      </c>
      <c r="E34" s="63" t="s">
        <v>19</v>
      </c>
      <c r="F34" s="63">
        <v>474</v>
      </c>
      <c r="G34" s="63" t="s">
        <v>118</v>
      </c>
      <c r="H34" s="63">
        <v>0</v>
      </c>
      <c r="I34" s="63" t="s">
        <v>333</v>
      </c>
      <c r="J34" s="63" t="s">
        <v>319</v>
      </c>
      <c r="K34" s="63">
        <f>F34*D34</f>
        <v>1659</v>
      </c>
    </row>
    <row r="35" spans="1:11">
      <c r="A35" s="62" t="s">
        <v>476</v>
      </c>
      <c r="B35" s="62" t="s">
        <v>476</v>
      </c>
      <c r="C35" s="62" t="s">
        <v>490</v>
      </c>
      <c r="D35" s="62">
        <v>3.2</v>
      </c>
      <c r="E35" s="62" t="s">
        <v>16</v>
      </c>
      <c r="F35" s="62">
        <v>189</v>
      </c>
      <c r="G35" s="62" t="s">
        <v>136</v>
      </c>
      <c r="H35" s="62">
        <v>10</v>
      </c>
      <c r="I35" s="62" t="s">
        <v>478</v>
      </c>
      <c r="J35" s="62" t="s">
        <v>319</v>
      </c>
      <c r="K35" s="62">
        <f>F35*D35</f>
        <v>604.80000000000007</v>
      </c>
    </row>
    <row r="36" spans="1:11">
      <c r="A36" s="63" t="s">
        <v>376</v>
      </c>
      <c r="B36" s="63" t="s">
        <v>251</v>
      </c>
      <c r="C36" s="63" t="s">
        <v>377</v>
      </c>
      <c r="D36" s="63">
        <v>17.100000000000001</v>
      </c>
      <c r="E36" s="63" t="s">
        <v>10</v>
      </c>
      <c r="F36" s="63">
        <v>175</v>
      </c>
      <c r="G36" s="63" t="s">
        <v>136</v>
      </c>
      <c r="H36" s="63">
        <v>15</v>
      </c>
      <c r="I36" s="63" t="s">
        <v>333</v>
      </c>
      <c r="J36" s="63" t="s">
        <v>319</v>
      </c>
      <c r="K36" s="63">
        <f>F36*D36</f>
        <v>2992.5000000000005</v>
      </c>
    </row>
    <row r="37" spans="1:11">
      <c r="A37" s="62" t="s">
        <v>476</v>
      </c>
      <c r="B37" s="62" t="s">
        <v>476</v>
      </c>
      <c r="C37" s="62" t="s">
        <v>491</v>
      </c>
      <c r="D37" s="62">
        <v>19</v>
      </c>
      <c r="E37" s="62" t="s">
        <v>10</v>
      </c>
      <c r="F37" s="62">
        <v>947</v>
      </c>
      <c r="G37" s="62" t="s">
        <v>136</v>
      </c>
      <c r="H37" s="62">
        <v>12</v>
      </c>
      <c r="I37" s="62" t="s">
        <v>478</v>
      </c>
      <c r="J37" s="62" t="s">
        <v>319</v>
      </c>
      <c r="K37" s="62">
        <f>F37*D37</f>
        <v>17993</v>
      </c>
    </row>
    <row r="38" spans="1:11">
      <c r="A38" s="62" t="s">
        <v>476</v>
      </c>
      <c r="B38" s="62" t="s">
        <v>476</v>
      </c>
      <c r="C38" s="62" t="s">
        <v>492</v>
      </c>
      <c r="D38" s="62">
        <v>19</v>
      </c>
      <c r="E38" s="62" t="s">
        <v>11</v>
      </c>
      <c r="F38" s="62">
        <v>548</v>
      </c>
      <c r="G38" s="62" t="s">
        <v>118</v>
      </c>
      <c r="H38" s="62">
        <v>0</v>
      </c>
      <c r="I38" s="62" t="s">
        <v>478</v>
      </c>
      <c r="J38" s="62" t="s">
        <v>319</v>
      </c>
      <c r="K38" s="62">
        <f>F38*D38</f>
        <v>10412</v>
      </c>
    </row>
    <row r="39" spans="1:11">
      <c r="A39" s="63" t="s">
        <v>378</v>
      </c>
      <c r="B39" s="63" t="s">
        <v>254</v>
      </c>
      <c r="C39" s="63" t="s">
        <v>379</v>
      </c>
      <c r="D39" s="63">
        <v>4.7</v>
      </c>
      <c r="E39" s="63" t="s">
        <v>10</v>
      </c>
      <c r="F39" s="63">
        <v>598</v>
      </c>
      <c r="G39" s="63" t="s">
        <v>136</v>
      </c>
      <c r="H39" s="63">
        <v>20</v>
      </c>
      <c r="I39" s="63" t="s">
        <v>333</v>
      </c>
      <c r="J39" s="63" t="s">
        <v>319</v>
      </c>
      <c r="K39" s="63">
        <f>F39*D39</f>
        <v>2810.6</v>
      </c>
    </row>
    <row r="40" spans="1:11">
      <c r="A40" s="63" t="s">
        <v>380</v>
      </c>
      <c r="B40" s="63" t="s">
        <v>260</v>
      </c>
      <c r="C40" s="63" t="s">
        <v>381</v>
      </c>
      <c r="D40" s="63">
        <v>2.1</v>
      </c>
      <c r="E40" s="63" t="s">
        <v>11</v>
      </c>
      <c r="F40" s="63">
        <v>774</v>
      </c>
      <c r="G40" s="63" t="s">
        <v>118</v>
      </c>
      <c r="H40" s="63">
        <v>0</v>
      </c>
      <c r="I40" s="63" t="s">
        <v>333</v>
      </c>
      <c r="J40" s="63" t="s">
        <v>319</v>
      </c>
      <c r="K40" s="63">
        <f t="shared" ref="K40:K45" si="4">F40*D40</f>
        <v>1625.4</v>
      </c>
    </row>
    <row r="41" spans="1:11">
      <c r="A41" s="63" t="s">
        <v>382</v>
      </c>
      <c r="B41" s="63" t="s">
        <v>263</v>
      </c>
      <c r="C41" s="63" t="s">
        <v>383</v>
      </c>
      <c r="D41" s="63">
        <v>1.5</v>
      </c>
      <c r="E41" s="63" t="s">
        <v>10</v>
      </c>
      <c r="F41" s="63">
        <v>275</v>
      </c>
      <c r="G41" s="63" t="s">
        <v>136</v>
      </c>
      <c r="H41" s="63">
        <v>7</v>
      </c>
      <c r="I41" s="63" t="s">
        <v>333</v>
      </c>
      <c r="J41" s="63" t="s">
        <v>319</v>
      </c>
      <c r="K41" s="63">
        <f t="shared" si="4"/>
        <v>412.5</v>
      </c>
    </row>
    <row r="42" spans="1:11">
      <c r="A42" s="63" t="s">
        <v>384</v>
      </c>
      <c r="B42" s="63" t="s">
        <v>269</v>
      </c>
      <c r="C42" s="63" t="s">
        <v>385</v>
      </c>
      <c r="D42" s="63">
        <v>1.8</v>
      </c>
      <c r="E42" s="63" t="s">
        <v>10</v>
      </c>
      <c r="F42" s="63">
        <v>550</v>
      </c>
      <c r="G42" s="63" t="s">
        <v>136</v>
      </c>
      <c r="H42" s="63">
        <v>20</v>
      </c>
      <c r="I42" s="63" t="s">
        <v>333</v>
      </c>
      <c r="J42" s="63" t="s">
        <v>319</v>
      </c>
      <c r="K42" s="63">
        <f t="shared" si="4"/>
        <v>990</v>
      </c>
    </row>
    <row r="43" spans="1:11">
      <c r="A43" s="63" t="s">
        <v>386</v>
      </c>
      <c r="B43" s="63" t="s">
        <v>337</v>
      </c>
      <c r="C43" s="63" t="s">
        <v>387</v>
      </c>
      <c r="D43" s="63">
        <v>87.3</v>
      </c>
      <c r="E43" s="63" t="s">
        <v>10</v>
      </c>
      <c r="F43" s="63">
        <v>198</v>
      </c>
      <c r="G43" s="63" t="s">
        <v>136</v>
      </c>
      <c r="H43" s="63">
        <v>0</v>
      </c>
      <c r="I43" s="63" t="s">
        <v>339</v>
      </c>
      <c r="J43" s="63" t="s">
        <v>319</v>
      </c>
      <c r="K43" s="63">
        <f t="shared" si="4"/>
        <v>17285.399999999998</v>
      </c>
    </row>
    <row r="44" spans="1:11">
      <c r="A44" s="63" t="s">
        <v>388</v>
      </c>
      <c r="B44" s="63" t="s">
        <v>274</v>
      </c>
      <c r="C44" s="63" t="s">
        <v>389</v>
      </c>
      <c r="D44" s="63">
        <v>2.9</v>
      </c>
      <c r="E44" s="63" t="s">
        <v>16</v>
      </c>
      <c r="F44" s="63">
        <v>249</v>
      </c>
      <c r="G44" s="63" t="s">
        <v>118</v>
      </c>
      <c r="H44" s="63">
        <v>0</v>
      </c>
      <c r="I44" s="63" t="s">
        <v>333</v>
      </c>
      <c r="J44" s="63" t="s">
        <v>319</v>
      </c>
      <c r="K44" s="63">
        <f t="shared" si="4"/>
        <v>722.1</v>
      </c>
    </row>
    <row r="45" spans="1:11">
      <c r="A45" s="63" t="s">
        <v>390</v>
      </c>
      <c r="B45" s="63" t="s">
        <v>277</v>
      </c>
      <c r="C45" s="63" t="s">
        <v>391</v>
      </c>
      <c r="D45" s="63">
        <v>5.9</v>
      </c>
      <c r="E45" s="63" t="s">
        <v>11</v>
      </c>
      <c r="F45" s="63">
        <v>450</v>
      </c>
      <c r="G45" s="63" t="s">
        <v>118</v>
      </c>
      <c r="H45" s="63">
        <v>0</v>
      </c>
      <c r="I45" s="63" t="s">
        <v>333</v>
      </c>
      <c r="J45" s="63" t="s">
        <v>319</v>
      </c>
      <c r="K45" s="63">
        <f t="shared" si="4"/>
        <v>2655</v>
      </c>
    </row>
    <row r="46" spans="1:11">
      <c r="A46" s="62" t="s">
        <v>476</v>
      </c>
      <c r="B46" s="62" t="s">
        <v>476</v>
      </c>
      <c r="C46" s="62" t="s">
        <v>493</v>
      </c>
      <c r="D46" s="62">
        <v>1</v>
      </c>
      <c r="E46" s="62" t="s">
        <v>10</v>
      </c>
      <c r="F46" s="62">
        <v>380</v>
      </c>
      <c r="G46" s="62" t="s">
        <v>136</v>
      </c>
      <c r="H46" s="62">
        <v>10</v>
      </c>
      <c r="I46" s="62" t="s">
        <v>478</v>
      </c>
      <c r="J46" s="62" t="s">
        <v>319</v>
      </c>
      <c r="K46" s="62">
        <f>F46*D46</f>
        <v>380</v>
      </c>
    </row>
    <row r="47" spans="1:11">
      <c r="A47" s="63" t="s">
        <v>392</v>
      </c>
      <c r="B47" s="63" t="s">
        <v>281</v>
      </c>
      <c r="C47" s="63" t="s">
        <v>393</v>
      </c>
      <c r="D47" s="63">
        <v>39.700000000000003</v>
      </c>
      <c r="E47" s="63" t="s">
        <v>10</v>
      </c>
      <c r="F47" s="63">
        <v>600</v>
      </c>
      <c r="G47" s="63" t="s">
        <v>136</v>
      </c>
      <c r="H47" s="63">
        <v>10</v>
      </c>
      <c r="I47" s="63" t="s">
        <v>333</v>
      </c>
      <c r="J47" s="63" t="s">
        <v>319</v>
      </c>
      <c r="K47" s="63">
        <f>F47*D47</f>
        <v>23820</v>
      </c>
    </row>
    <row r="48" spans="1:11">
      <c r="A48" s="63" t="s">
        <v>394</v>
      </c>
      <c r="B48" s="63" t="s">
        <v>280</v>
      </c>
      <c r="C48" s="63" t="s">
        <v>395</v>
      </c>
      <c r="D48" s="63">
        <v>4.5999999999999996</v>
      </c>
      <c r="E48" s="63" t="s">
        <v>11</v>
      </c>
      <c r="F48" s="63">
        <v>697</v>
      </c>
      <c r="G48" s="63" t="s">
        <v>136</v>
      </c>
      <c r="H48" s="63">
        <v>15</v>
      </c>
      <c r="I48" s="63" t="s">
        <v>333</v>
      </c>
      <c r="J48" s="63" t="s">
        <v>319</v>
      </c>
      <c r="K48" s="63">
        <f t="shared" ref="K48:K50" si="5">F48*D48</f>
        <v>3206.2</v>
      </c>
    </row>
    <row r="49" spans="1:11">
      <c r="A49" s="63" t="s">
        <v>396</v>
      </c>
      <c r="B49" s="63" t="s">
        <v>288</v>
      </c>
      <c r="C49" s="63" t="s">
        <v>397</v>
      </c>
      <c r="D49" s="63">
        <v>3.3</v>
      </c>
      <c r="E49" s="63" t="s">
        <v>10</v>
      </c>
      <c r="F49" s="63">
        <v>563</v>
      </c>
      <c r="G49" s="63" t="s">
        <v>118</v>
      </c>
      <c r="H49" s="63">
        <v>0</v>
      </c>
      <c r="I49" s="63" t="s">
        <v>333</v>
      </c>
      <c r="J49" s="63" t="s">
        <v>319</v>
      </c>
      <c r="K49" s="63">
        <f t="shared" si="5"/>
        <v>1857.8999999999999</v>
      </c>
    </row>
    <row r="50" spans="1:11">
      <c r="A50" s="63" t="s">
        <v>398</v>
      </c>
      <c r="B50" s="63" t="s">
        <v>290</v>
      </c>
      <c r="C50" s="63" t="s">
        <v>399</v>
      </c>
      <c r="D50" s="63">
        <v>21.5</v>
      </c>
      <c r="E50" s="63" t="s">
        <v>19</v>
      </c>
      <c r="F50" s="63">
        <v>398</v>
      </c>
      <c r="G50" s="63" t="s">
        <v>136</v>
      </c>
      <c r="H50" s="63">
        <v>8</v>
      </c>
      <c r="I50" s="63" t="s">
        <v>333</v>
      </c>
      <c r="J50" s="63" t="s">
        <v>319</v>
      </c>
      <c r="K50" s="63">
        <f t="shared" si="5"/>
        <v>8557</v>
      </c>
    </row>
    <row r="51" spans="1:11">
      <c r="A51" s="62" t="s">
        <v>476</v>
      </c>
      <c r="B51" s="62" t="s">
        <v>476</v>
      </c>
      <c r="C51" s="62" t="s">
        <v>494</v>
      </c>
      <c r="D51" s="62">
        <v>13.9</v>
      </c>
      <c r="E51" s="62" t="s">
        <v>16</v>
      </c>
      <c r="F51" s="62">
        <v>220</v>
      </c>
      <c r="G51" s="62" t="s">
        <v>136</v>
      </c>
      <c r="H51" s="62">
        <v>20</v>
      </c>
      <c r="I51" s="62" t="s">
        <v>478</v>
      </c>
      <c r="J51" s="62" t="s">
        <v>319</v>
      </c>
      <c r="K51" s="62">
        <f>F51*D51</f>
        <v>3058</v>
      </c>
    </row>
    <row r="52" spans="1:11">
      <c r="A52" s="63" t="s">
        <v>400</v>
      </c>
      <c r="B52" s="63" t="s">
        <v>337</v>
      </c>
      <c r="C52" s="63" t="s">
        <v>401</v>
      </c>
      <c r="D52" s="63">
        <v>99.4</v>
      </c>
      <c r="E52" s="63" t="s">
        <v>11</v>
      </c>
      <c r="F52" s="63">
        <v>640</v>
      </c>
      <c r="G52" s="63" t="s">
        <v>136</v>
      </c>
      <c r="H52" s="63">
        <v>0</v>
      </c>
      <c r="I52" s="63" t="s">
        <v>339</v>
      </c>
      <c r="J52" s="63" t="s">
        <v>319</v>
      </c>
      <c r="K52" s="63">
        <f>F52*D52</f>
        <v>63616</v>
      </c>
    </row>
    <row r="53" spans="1:11">
      <c r="A53" s="63" t="s">
        <v>402</v>
      </c>
      <c r="B53" s="63" t="s">
        <v>292</v>
      </c>
      <c r="C53" s="63" t="s">
        <v>403</v>
      </c>
      <c r="D53" s="63">
        <v>1.5</v>
      </c>
      <c r="E53" s="63" t="s">
        <v>11</v>
      </c>
      <c r="F53" s="63">
        <v>249</v>
      </c>
      <c r="G53" s="63" t="s">
        <v>136</v>
      </c>
      <c r="H53" s="63">
        <v>15</v>
      </c>
      <c r="I53" s="63" t="s">
        <v>333</v>
      </c>
      <c r="J53" s="63" t="s">
        <v>319</v>
      </c>
      <c r="K53" s="63">
        <f>F53*D53</f>
        <v>373.5</v>
      </c>
    </row>
    <row r="54" spans="1:11">
      <c r="A54" s="62" t="s">
        <v>476</v>
      </c>
      <c r="B54" s="62" t="s">
        <v>476</v>
      </c>
      <c r="C54" s="62" t="s">
        <v>495</v>
      </c>
      <c r="D54" s="62">
        <v>93.4</v>
      </c>
      <c r="E54" s="62" t="s">
        <v>16</v>
      </c>
      <c r="F54" s="62">
        <v>318</v>
      </c>
      <c r="G54" s="62" t="s">
        <v>118</v>
      </c>
      <c r="H54" s="62">
        <v>0</v>
      </c>
      <c r="I54" s="62" t="s">
        <v>478</v>
      </c>
      <c r="J54" s="62" t="s">
        <v>319</v>
      </c>
      <c r="K54" s="62">
        <f>F54*D54</f>
        <v>29701.200000000001</v>
      </c>
    </row>
    <row r="55" spans="1:11">
      <c r="A55" s="63" t="s">
        <v>404</v>
      </c>
      <c r="B55" s="63" t="s">
        <v>297</v>
      </c>
      <c r="C55" s="63" t="s">
        <v>405</v>
      </c>
      <c r="D55" s="63">
        <v>1.8</v>
      </c>
      <c r="E55" s="63" t="s">
        <v>11</v>
      </c>
      <c r="F55" s="63">
        <v>947</v>
      </c>
      <c r="G55" s="63" t="s">
        <v>136</v>
      </c>
      <c r="H55" s="63">
        <v>15</v>
      </c>
      <c r="I55" s="63" t="s">
        <v>333</v>
      </c>
      <c r="J55" s="63" t="s">
        <v>319</v>
      </c>
      <c r="K55" s="63">
        <f>F55*D55</f>
        <v>1704.6000000000001</v>
      </c>
    </row>
    <row r="56" spans="1:11">
      <c r="A56" s="62" t="s">
        <v>476</v>
      </c>
      <c r="B56" s="62" t="s">
        <v>476</v>
      </c>
      <c r="C56" s="62" t="s">
        <v>496</v>
      </c>
      <c r="D56" s="62">
        <v>2</v>
      </c>
      <c r="E56" s="62" t="s">
        <v>11</v>
      </c>
      <c r="F56" s="62">
        <v>598</v>
      </c>
      <c r="G56" s="62" t="s">
        <v>136</v>
      </c>
      <c r="H56" s="62">
        <v>5</v>
      </c>
      <c r="I56" s="62" t="s">
        <v>478</v>
      </c>
      <c r="J56" s="62" t="s">
        <v>319</v>
      </c>
      <c r="K56" s="62">
        <f>F56*D56</f>
        <v>1196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56"/>
  <sheetViews>
    <sheetView topLeftCell="E3" zoomScale="82" zoomScaleNormal="82" workbookViewId="0">
      <selection activeCell="K3" sqref="K3"/>
    </sheetView>
  </sheetViews>
  <sheetFormatPr defaultRowHeight="14.5"/>
  <cols>
    <col min="1" max="1" width="12.453125" customWidth="1"/>
    <col min="2" max="2" width="18" customWidth="1"/>
    <col min="3" max="3" width="20" customWidth="1"/>
    <col min="4" max="4" width="18" customWidth="1"/>
    <col min="5" max="6" width="14" customWidth="1"/>
    <col min="7" max="7" width="12" customWidth="1"/>
    <col min="8" max="8" width="20" customWidth="1"/>
    <col min="9" max="9" width="26" customWidth="1"/>
    <col min="10" max="10" width="8" customWidth="1"/>
    <col min="11" max="11" width="18.453125" customWidth="1"/>
    <col min="12" max="12" width="9.6328125" customWidth="1"/>
    <col min="13" max="13" width="33" customWidth="1"/>
    <col min="14" max="14" width="9.08984375" customWidth="1"/>
    <col min="16" max="16" width="8.7265625" customWidth="1"/>
    <col min="17" max="17" width="32.08984375" customWidth="1"/>
    <col min="20" max="20" width="13.26953125" customWidth="1"/>
    <col min="21" max="21" width="10" customWidth="1"/>
    <col min="22" max="22" width="8.453125" customWidth="1"/>
  </cols>
  <sheetData>
    <row r="1" spans="1:22" ht="15.5">
      <c r="A1" s="19" t="s">
        <v>323</v>
      </c>
      <c r="B1" s="19" t="s">
        <v>324</v>
      </c>
      <c r="C1" s="19" t="s">
        <v>325</v>
      </c>
      <c r="D1" s="19" t="s">
        <v>326</v>
      </c>
      <c r="E1" s="19" t="s">
        <v>2</v>
      </c>
      <c r="F1" s="19" t="s">
        <v>327</v>
      </c>
      <c r="G1" s="19" t="s">
        <v>328</v>
      </c>
      <c r="H1" s="19" t="s">
        <v>329</v>
      </c>
      <c r="I1" s="19" t="s">
        <v>330</v>
      </c>
      <c r="J1" s="19" t="s">
        <v>305</v>
      </c>
      <c r="K1" s="19" t="s">
        <v>436</v>
      </c>
      <c r="M1" s="21" t="s">
        <v>406</v>
      </c>
      <c r="Q1" t="s">
        <v>439</v>
      </c>
      <c r="T1" s="27" t="s">
        <v>449</v>
      </c>
      <c r="U1" s="29" t="s">
        <v>419</v>
      </c>
      <c r="V1" s="29" t="s">
        <v>420</v>
      </c>
    </row>
    <row r="2" spans="1:22">
      <c r="A2" s="20" t="s">
        <v>331</v>
      </c>
      <c r="B2" s="20" t="s">
        <v>124</v>
      </c>
      <c r="C2" s="20" t="s">
        <v>332</v>
      </c>
      <c r="D2" s="20">
        <v>12.2</v>
      </c>
      <c r="E2" s="20" t="s">
        <v>10</v>
      </c>
      <c r="F2" s="20">
        <v>374</v>
      </c>
      <c r="G2" s="20" t="s">
        <v>118</v>
      </c>
      <c r="H2" s="56">
        <v>0</v>
      </c>
      <c r="I2" s="20" t="s">
        <v>333</v>
      </c>
      <c r="J2" s="20" t="s">
        <v>315</v>
      </c>
      <c r="K2">
        <f>F2*D2</f>
        <v>4562.8</v>
      </c>
      <c r="M2" s="22" t="s">
        <v>407</v>
      </c>
      <c r="N2">
        <f>COUNTA(A2:A37)</f>
        <v>36</v>
      </c>
      <c r="Q2" t="s">
        <v>440</v>
      </c>
      <c r="R2" s="25">
        <f>COUNTIF(G2:G37,"Yes")/COUNTA(G2:G37)</f>
        <v>0.72222222222222221</v>
      </c>
      <c r="T2" s="30" t="s">
        <v>450</v>
      </c>
      <c r="U2" s="28">
        <f>COUNTIFS($D$2:$D$37,"&gt;=0",$D$2:$D$37,"&lt;6",$I$2:$I$37,"Converted (Paid)")</f>
        <v>20</v>
      </c>
      <c r="V2" s="28">
        <f>COUNTIFS($D$2:$D$37,"&gt;=0",$D$2:$D$37,"&lt;6",$I$2:$I$37,"Lost (No Payment / Ghosted)")</f>
        <v>0</v>
      </c>
    </row>
    <row r="3" spans="1:22">
      <c r="A3" s="20" t="s">
        <v>334</v>
      </c>
      <c r="B3" s="20" t="s">
        <v>126</v>
      </c>
      <c r="C3" s="20" t="s">
        <v>335</v>
      </c>
      <c r="D3" s="20">
        <v>24.2</v>
      </c>
      <c r="E3" s="20" t="s">
        <v>11</v>
      </c>
      <c r="F3" s="20">
        <v>249</v>
      </c>
      <c r="G3" s="20" t="s">
        <v>136</v>
      </c>
      <c r="H3" s="20">
        <v>10</v>
      </c>
      <c r="I3" s="20" t="s">
        <v>333</v>
      </c>
      <c r="J3" s="20" t="s">
        <v>315</v>
      </c>
      <c r="K3">
        <f t="shared" ref="K2:K37" si="0">F3*D3</f>
        <v>6025.8</v>
      </c>
      <c r="M3" s="22" t="s">
        <v>408</v>
      </c>
      <c r="N3">
        <f>COUNTIF(I2:I37,"Converted (Paid)")</f>
        <v>29</v>
      </c>
      <c r="Q3" t="s">
        <v>441</v>
      </c>
      <c r="R3" s="50">
        <f>AVERAGEIF(G2:G37,"Yes",H2:H37)</f>
        <v>9.0384615384615383</v>
      </c>
      <c r="T3" s="30" t="s">
        <v>451</v>
      </c>
      <c r="U3" s="28">
        <f>COUNTIFS($D$2:$D$37,"&gt;=6",$D$2:$D$37,"&lt;24",$I$2:$I$37,"Converted (Paid)")</f>
        <v>4</v>
      </c>
      <c r="V3" s="28">
        <f>COUNTIFS($D$2:$D$37,"&gt;=6",$D$2:$D$37,"&lt;24",$I$2:$I$37,"Lost (No Payment / Ghosted)")</f>
        <v>0</v>
      </c>
    </row>
    <row r="4" spans="1:22">
      <c r="A4" s="20" t="s">
        <v>336</v>
      </c>
      <c r="B4" s="20" t="s">
        <v>337</v>
      </c>
      <c r="C4" s="20" t="s">
        <v>338</v>
      </c>
      <c r="D4" s="20">
        <v>47.2</v>
      </c>
      <c r="E4" s="20" t="s">
        <v>10</v>
      </c>
      <c r="F4" s="20">
        <v>189</v>
      </c>
      <c r="G4" s="20" t="s">
        <v>136</v>
      </c>
      <c r="H4" s="20">
        <v>0</v>
      </c>
      <c r="I4" s="20" t="s">
        <v>339</v>
      </c>
      <c r="J4" s="20" t="s">
        <v>315</v>
      </c>
      <c r="K4">
        <f t="shared" si="0"/>
        <v>8920.8000000000011</v>
      </c>
      <c r="M4" s="22" t="s">
        <v>409</v>
      </c>
      <c r="N4">
        <f>COUNTIF(I2:I37,"Lost (No Payment / Ghosted)")</f>
        <v>7</v>
      </c>
      <c r="Q4" t="s">
        <v>442</v>
      </c>
      <c r="R4">
        <f>SUMIFS(F2:F37,G2:G37,"Yes",I2:I37,"Converted (Paid)")</f>
        <v>10230</v>
      </c>
      <c r="T4" s="30" t="s">
        <v>452</v>
      </c>
      <c r="U4" s="28">
        <f>COUNTIFS($D$2:$D$37,"&gt;=24",$D$2:$D$37,"&lt;48",$I$2:$I$37,"Converted (Paid)")</f>
        <v>5</v>
      </c>
      <c r="V4" s="28">
        <f>COUNTIFS($D$2:$D$37,"&gt;=24",$D$2:$D$37,"&lt;48",$I$2:$I$37,"Lost (No Payment / Ghosted)")</f>
        <v>2</v>
      </c>
    </row>
    <row r="5" spans="1:22">
      <c r="A5" s="20" t="s">
        <v>340</v>
      </c>
      <c r="B5" s="20" t="s">
        <v>141</v>
      </c>
      <c r="C5" s="20" t="s">
        <v>341</v>
      </c>
      <c r="D5" s="20">
        <v>2.9</v>
      </c>
      <c r="E5" s="20" t="s">
        <v>10</v>
      </c>
      <c r="F5" s="20">
        <v>519</v>
      </c>
      <c r="G5" s="20" t="s">
        <v>136</v>
      </c>
      <c r="H5" s="20">
        <v>10</v>
      </c>
      <c r="I5" s="20" t="s">
        <v>333</v>
      </c>
      <c r="J5" s="20" t="s">
        <v>315</v>
      </c>
      <c r="K5">
        <f t="shared" si="0"/>
        <v>1505.1</v>
      </c>
      <c r="M5" s="22" t="s">
        <v>410</v>
      </c>
      <c r="N5" s="57">
        <f>COUNTIF(I2:I37,"Lost (No Payment / Ghosted)")/COUNTA(A2:A37)*100</f>
        <v>19.444444444444446</v>
      </c>
      <c r="Q5" t="s">
        <v>443</v>
      </c>
      <c r="R5" s="50">
        <f>SUMIFS(F2:F37,G2:G37,"Yes",I2:I37,"Converted (Paid)")*(AVERAGEIF(G2:G37,"Yes",H2:H37)/100)</f>
        <v>924.63461538461536</v>
      </c>
      <c r="T5" s="30" t="s">
        <v>453</v>
      </c>
      <c r="U5" s="28">
        <f>COUNTIFS($D$2:$D$37,"&gt;=48",$I$2:$I$37,"Converted (Paid)")</f>
        <v>0</v>
      </c>
      <c r="V5" s="28">
        <f>COUNTIFS($D$2:$D$37,"&gt;=48",$I$2:$I$37,"Lost (No Payment / Ghosted)")</f>
        <v>5</v>
      </c>
    </row>
    <row r="6" spans="1:22">
      <c r="A6" s="20" t="s">
        <v>342</v>
      </c>
      <c r="B6" s="20" t="s">
        <v>146</v>
      </c>
      <c r="C6" s="20" t="s">
        <v>343</v>
      </c>
      <c r="D6" s="20">
        <v>5</v>
      </c>
      <c r="E6" s="20" t="s">
        <v>10</v>
      </c>
      <c r="F6" s="20">
        <v>599</v>
      </c>
      <c r="G6" s="20" t="s">
        <v>136</v>
      </c>
      <c r="H6" s="20">
        <v>15</v>
      </c>
      <c r="I6" s="20" t="s">
        <v>333</v>
      </c>
      <c r="J6" s="20" t="s">
        <v>315</v>
      </c>
      <c r="K6">
        <f t="shared" si="0"/>
        <v>2995</v>
      </c>
      <c r="M6" s="22" t="s">
        <v>411</v>
      </c>
      <c r="N6" s="55">
        <f>SUM(F2:F37)</f>
        <v>16700</v>
      </c>
    </row>
    <row r="7" spans="1:22">
      <c r="A7" s="20" t="s">
        <v>344</v>
      </c>
      <c r="B7" s="20" t="s">
        <v>148</v>
      </c>
      <c r="C7" s="20" t="s">
        <v>345</v>
      </c>
      <c r="D7" s="20">
        <v>5.6</v>
      </c>
      <c r="E7" s="20" t="s">
        <v>10</v>
      </c>
      <c r="F7" s="20">
        <v>398</v>
      </c>
      <c r="G7" s="20" t="s">
        <v>136</v>
      </c>
      <c r="H7" s="20">
        <v>10</v>
      </c>
      <c r="I7" s="20" t="s">
        <v>333</v>
      </c>
      <c r="J7" s="20" t="s">
        <v>315</v>
      </c>
      <c r="K7">
        <f t="shared" si="0"/>
        <v>2228.7999999999997</v>
      </c>
      <c r="M7" s="22" t="s">
        <v>412</v>
      </c>
      <c r="N7">
        <f>SUMIF(I2:I37,"Lost (No Payment / Ghosted)",F2:F37)</f>
        <v>2320</v>
      </c>
    </row>
    <row r="8" spans="1:22">
      <c r="A8" s="20" t="s">
        <v>346</v>
      </c>
      <c r="B8" s="20" t="s">
        <v>337</v>
      </c>
      <c r="C8" s="20" t="s">
        <v>347</v>
      </c>
      <c r="D8" s="20">
        <v>57.6</v>
      </c>
      <c r="E8" s="20" t="s">
        <v>11</v>
      </c>
      <c r="F8" s="20">
        <v>375</v>
      </c>
      <c r="G8" s="20" t="s">
        <v>118</v>
      </c>
      <c r="H8" s="20">
        <v>12</v>
      </c>
      <c r="I8" s="20" t="s">
        <v>339</v>
      </c>
      <c r="J8" s="20" t="s">
        <v>315</v>
      </c>
      <c r="K8">
        <f t="shared" si="0"/>
        <v>21600</v>
      </c>
      <c r="M8" s="22" t="s">
        <v>413</v>
      </c>
      <c r="N8" s="50">
        <f>AVERAGEIF(I2:I37,"Converted (Paid)",D2:D37)</f>
        <v>10.603448275862071</v>
      </c>
      <c r="Q8" t="s">
        <v>444</v>
      </c>
      <c r="T8" s="27" t="s">
        <v>2</v>
      </c>
      <c r="U8" s="29" t="s">
        <v>454</v>
      </c>
    </row>
    <row r="9" spans="1:22">
      <c r="A9" s="20" t="s">
        <v>348</v>
      </c>
      <c r="B9" s="20" t="s">
        <v>154</v>
      </c>
      <c r="C9" s="20" t="s">
        <v>349</v>
      </c>
      <c r="D9" s="20">
        <v>34.299999999999997</v>
      </c>
      <c r="E9" s="20" t="s">
        <v>11</v>
      </c>
      <c r="F9" s="20">
        <v>469</v>
      </c>
      <c r="G9" s="20" t="s">
        <v>118</v>
      </c>
      <c r="H9" s="20">
        <v>0</v>
      </c>
      <c r="I9" s="20" t="s">
        <v>333</v>
      </c>
      <c r="J9" s="20" t="s">
        <v>315</v>
      </c>
      <c r="K9">
        <f t="shared" si="0"/>
        <v>16086.699999999999</v>
      </c>
      <c r="M9" s="22" t="s">
        <v>414</v>
      </c>
      <c r="N9" s="50">
        <f>AVERAGEIF(I2:I37,"Lost (No Payment / Ghosted)",D2:D37)</f>
        <v>70.985714285714295</v>
      </c>
      <c r="Q9" t="s">
        <v>445</v>
      </c>
      <c r="R9">
        <f>COUNTIFS(I2:I37,"Lost (No Payment / Ghosted)",D2:D37,"&gt;24")</f>
        <v>7</v>
      </c>
      <c r="T9" s="30" t="s">
        <v>10</v>
      </c>
      <c r="U9" s="28">
        <f>SUMIF(E2:E37,"Earrings",F2:F37)</f>
        <v>5806</v>
      </c>
    </row>
    <row r="10" spans="1:22">
      <c r="A10" s="20" t="s">
        <v>350</v>
      </c>
      <c r="B10" s="20" t="s">
        <v>170</v>
      </c>
      <c r="C10" s="20" t="s">
        <v>351</v>
      </c>
      <c r="D10" s="20">
        <v>4.5</v>
      </c>
      <c r="E10" s="20" t="s">
        <v>16</v>
      </c>
      <c r="F10" s="20">
        <v>279</v>
      </c>
      <c r="G10" s="20" t="s">
        <v>136</v>
      </c>
      <c r="H10" s="20">
        <v>10</v>
      </c>
      <c r="I10" s="20" t="s">
        <v>333</v>
      </c>
      <c r="J10" s="20" t="s">
        <v>317</v>
      </c>
      <c r="K10">
        <f t="shared" si="0"/>
        <v>1255.5</v>
      </c>
      <c r="M10" s="22" t="s">
        <v>415</v>
      </c>
      <c r="N10" s="57">
        <f>COUNTIF(G2:G37,"Yes")/COUNTA(A2:A37)*100</f>
        <v>72.222222222222214</v>
      </c>
      <c r="Q10" t="s">
        <v>446</v>
      </c>
      <c r="R10">
        <f>SUMIFS(F2:F37,I2:I37,"Lost (No Payment / Ghosted)",D2:D37,"&gt;24")</f>
        <v>2320</v>
      </c>
      <c r="T10" s="30" t="s">
        <v>11</v>
      </c>
      <c r="U10" s="28">
        <f>SUMIF(E2:E37,"Bracelets",F2:F37)</f>
        <v>8404</v>
      </c>
    </row>
    <row r="11" spans="1:22">
      <c r="A11" s="20" t="s">
        <v>352</v>
      </c>
      <c r="B11" s="20" t="s">
        <v>174</v>
      </c>
      <c r="C11" s="20" t="s">
        <v>353</v>
      </c>
      <c r="D11" s="20">
        <v>47.5</v>
      </c>
      <c r="E11" s="20" t="s">
        <v>10</v>
      </c>
      <c r="F11" s="20">
        <v>548</v>
      </c>
      <c r="G11" s="20" t="s">
        <v>118</v>
      </c>
      <c r="H11" s="20">
        <v>0</v>
      </c>
      <c r="I11" s="20" t="s">
        <v>333</v>
      </c>
      <c r="J11" s="20" t="s">
        <v>317</v>
      </c>
      <c r="K11">
        <f t="shared" si="0"/>
        <v>26030</v>
      </c>
      <c r="M11" s="22" t="s">
        <v>416</v>
      </c>
      <c r="N11" s="57">
        <f>AVERAGEIF(G2:G37,"Yes",H2:H37)</f>
        <v>9.0384615384615383</v>
      </c>
      <c r="Q11" t="s">
        <v>447</v>
      </c>
      <c r="R11">
        <f>COUNTIFS(I2:I37,"Lost (No Payment / Ghosted)",D2:D37,"&gt;48")</f>
        <v>5</v>
      </c>
      <c r="T11" s="30" t="s">
        <v>16</v>
      </c>
      <c r="U11" s="28">
        <f>SUMIF(E2:E37,"Rings",F2:F37)</f>
        <v>1244</v>
      </c>
    </row>
    <row r="12" spans="1:22">
      <c r="A12" s="20" t="s">
        <v>354</v>
      </c>
      <c r="B12" s="20" t="s">
        <v>176</v>
      </c>
      <c r="C12" s="20" t="s">
        <v>355</v>
      </c>
      <c r="D12" s="20">
        <v>25.7</v>
      </c>
      <c r="E12" s="20" t="s">
        <v>16</v>
      </c>
      <c r="F12" s="20">
        <v>398</v>
      </c>
      <c r="G12" s="20" t="s">
        <v>136</v>
      </c>
      <c r="H12" s="20">
        <v>10</v>
      </c>
      <c r="I12" s="20" t="s">
        <v>333</v>
      </c>
      <c r="J12" s="20" t="s">
        <v>317</v>
      </c>
      <c r="K12">
        <f t="shared" si="0"/>
        <v>10228.6</v>
      </c>
      <c r="Q12" t="s">
        <v>448</v>
      </c>
      <c r="R12">
        <f>SUMIFS(F2:F37,I2:I37,"Lost (No Payment / Ghosted)",D2:D37,"&gt;48")</f>
        <v>1813</v>
      </c>
      <c r="T12" s="30" t="s">
        <v>19</v>
      </c>
      <c r="U12" s="28">
        <f>SUMIF(E2:E37,"Neckpieces",F2:F37)</f>
        <v>1246</v>
      </c>
    </row>
    <row r="13" spans="1:22">
      <c r="A13" s="20" t="s">
        <v>356</v>
      </c>
      <c r="B13" s="20" t="s">
        <v>178</v>
      </c>
      <c r="C13" s="20" t="s">
        <v>357</v>
      </c>
      <c r="D13" s="20">
        <v>2.8</v>
      </c>
      <c r="E13" s="20" t="s">
        <v>11</v>
      </c>
      <c r="F13" s="20">
        <v>903</v>
      </c>
      <c r="G13" s="20" t="s">
        <v>136</v>
      </c>
      <c r="H13" s="20">
        <v>7</v>
      </c>
      <c r="I13" s="20" t="s">
        <v>333</v>
      </c>
      <c r="J13" s="20" t="s">
        <v>317</v>
      </c>
      <c r="K13">
        <f t="shared" si="0"/>
        <v>2528.3999999999996</v>
      </c>
    </row>
    <row r="14" spans="1:22">
      <c r="A14" s="20" t="s">
        <v>358</v>
      </c>
      <c r="B14" s="20" t="s">
        <v>182</v>
      </c>
      <c r="C14" s="20" t="s">
        <v>359</v>
      </c>
      <c r="D14" s="20">
        <v>1.9</v>
      </c>
      <c r="E14" s="20" t="s">
        <v>11</v>
      </c>
      <c r="F14" s="20">
        <v>598</v>
      </c>
      <c r="G14" s="20" t="s">
        <v>136</v>
      </c>
      <c r="H14" s="20">
        <v>8</v>
      </c>
      <c r="I14" s="20" t="s">
        <v>333</v>
      </c>
      <c r="J14" s="20" t="s">
        <v>317</v>
      </c>
      <c r="K14">
        <f t="shared" si="0"/>
        <v>1136.2</v>
      </c>
    </row>
    <row r="15" spans="1:22">
      <c r="A15" s="20" t="s">
        <v>360</v>
      </c>
      <c r="B15" s="20" t="s">
        <v>190</v>
      </c>
      <c r="C15" s="20" t="s">
        <v>361</v>
      </c>
      <c r="D15" s="20">
        <v>2.2999999999999998</v>
      </c>
      <c r="E15" s="20" t="s">
        <v>11</v>
      </c>
      <c r="F15" s="20">
        <v>249</v>
      </c>
      <c r="G15" s="20" t="s">
        <v>118</v>
      </c>
      <c r="H15" s="20">
        <v>0</v>
      </c>
      <c r="I15" s="20" t="s">
        <v>333</v>
      </c>
      <c r="J15" s="20" t="s">
        <v>317</v>
      </c>
      <c r="K15">
        <f t="shared" si="0"/>
        <v>572.69999999999993</v>
      </c>
      <c r="M15" s="26" t="s">
        <v>417</v>
      </c>
      <c r="N15" s="23" t="s">
        <v>419</v>
      </c>
      <c r="O15" s="23" t="s">
        <v>420</v>
      </c>
      <c r="Q15" t="s">
        <v>430</v>
      </c>
      <c r="T15" s="27" t="s">
        <v>305</v>
      </c>
      <c r="U15" s="29" t="s">
        <v>454</v>
      </c>
    </row>
    <row r="16" spans="1:22">
      <c r="A16" s="20" t="s">
        <v>362</v>
      </c>
      <c r="B16" s="20" t="s">
        <v>337</v>
      </c>
      <c r="C16" s="20" t="s">
        <v>363</v>
      </c>
      <c r="D16" s="20">
        <v>28.6</v>
      </c>
      <c r="E16" s="20" t="s">
        <v>16</v>
      </c>
      <c r="F16" s="20">
        <v>318</v>
      </c>
      <c r="G16" s="20" t="s">
        <v>136</v>
      </c>
      <c r="H16" s="20">
        <v>5</v>
      </c>
      <c r="I16" s="20" t="s">
        <v>339</v>
      </c>
      <c r="J16" s="20" t="s">
        <v>317</v>
      </c>
      <c r="K16">
        <f t="shared" si="0"/>
        <v>9094.8000000000011</v>
      </c>
      <c r="M16" s="26" t="s">
        <v>418</v>
      </c>
      <c r="N16" s="50">
        <f>AVERAGEIF(I2:I37,"Converted (Paid)",D2:D37)</f>
        <v>10.603448275862071</v>
      </c>
      <c r="O16" s="50">
        <f>AVERAGEIF(I2:I37,"Lost (No Payment / Ghosted)",D2:D37)</f>
        <v>70.985714285714295</v>
      </c>
      <c r="Q16" t="s">
        <v>431</v>
      </c>
      <c r="R16">
        <f>COUNTA(A2:A37)</f>
        <v>36</v>
      </c>
      <c r="T16" s="30" t="s">
        <v>315</v>
      </c>
      <c r="U16" s="28">
        <f>SUMIF(J2:J37,"Mar",F2:F37)</f>
        <v>3172</v>
      </c>
    </row>
    <row r="17" spans="1:21">
      <c r="A17" s="20" t="s">
        <v>364</v>
      </c>
      <c r="B17" s="20" t="s">
        <v>223</v>
      </c>
      <c r="C17" s="20" t="s">
        <v>365</v>
      </c>
      <c r="D17" s="20">
        <v>19.899999999999999</v>
      </c>
      <c r="E17" s="20" t="s">
        <v>11</v>
      </c>
      <c r="F17" s="20">
        <v>349</v>
      </c>
      <c r="G17" s="20" t="s">
        <v>136</v>
      </c>
      <c r="H17" s="20">
        <v>5</v>
      </c>
      <c r="I17" s="20" t="s">
        <v>333</v>
      </c>
      <c r="J17" s="20" t="s">
        <v>317</v>
      </c>
      <c r="K17">
        <f t="shared" si="0"/>
        <v>6945.0999999999995</v>
      </c>
      <c r="M17" s="24" t="s">
        <v>421</v>
      </c>
      <c r="N17" s="50" cm="1">
        <f t="array" ref="N17">MEDIAN(_xlfn._xlws.FILTER(D2:D37,I2:I37="Converted (Paid)"))</f>
        <v>4.5999999999999996</v>
      </c>
      <c r="O17" s="50" cm="1">
        <f t="array" ref="O17">MEDIAN(_xlfn._xlws.FILTER(D2:D37,I2:I37="Lost (No Payment / Ghosted)"))</f>
        <v>85.9</v>
      </c>
      <c r="Q17" t="s">
        <v>419</v>
      </c>
      <c r="R17">
        <f>COUNTIF(I2:I37,"Converted (Paid)")</f>
        <v>29</v>
      </c>
      <c r="T17" s="30" t="s">
        <v>317</v>
      </c>
      <c r="U17" s="28">
        <f>SUMIF(J2:J37,"Apr",F2:F37)</f>
        <v>5097</v>
      </c>
    </row>
    <row r="18" spans="1:21">
      <c r="A18" s="20" t="s">
        <v>366</v>
      </c>
      <c r="B18" s="20" t="s">
        <v>337</v>
      </c>
      <c r="C18" s="20" t="s">
        <v>367</v>
      </c>
      <c r="D18" s="20">
        <v>90.9</v>
      </c>
      <c r="E18" s="20" t="s">
        <v>11</v>
      </c>
      <c r="F18" s="20">
        <v>380</v>
      </c>
      <c r="G18" s="20" t="s">
        <v>136</v>
      </c>
      <c r="H18" s="20">
        <v>0</v>
      </c>
      <c r="I18" s="20" t="s">
        <v>339</v>
      </c>
      <c r="J18" s="20" t="s">
        <v>317</v>
      </c>
      <c r="K18">
        <f t="shared" si="0"/>
        <v>34542</v>
      </c>
      <c r="M18" t="s">
        <v>422</v>
      </c>
      <c r="N18" s="50" cm="1">
        <f t="array" ref="N18">_xlfn.STDEV.S(_xlfn._xlws.FILTER(D2:D37,I2:I37="Converted (Paid)"))</f>
        <v>12.752408253195064</v>
      </c>
      <c r="O18" s="50" cm="1">
        <f t="array" ref="O18">_xlfn.STDEV.S(_xlfn._xlws.FILTER(D2:D37,I2:I37="Lost (No Payment / Ghosted)"))</f>
        <v>26.564476817197551</v>
      </c>
      <c r="Q18" t="s">
        <v>420</v>
      </c>
      <c r="R18">
        <f>COUNTIF(I2:I37,"Lost (No Payment / Ghosted)")</f>
        <v>7</v>
      </c>
      <c r="T18" s="30" t="s">
        <v>319</v>
      </c>
      <c r="U18" s="28">
        <f>SUMIF(J2:J37,"May",F2:F37)</f>
        <v>8431</v>
      </c>
    </row>
    <row r="19" spans="1:21">
      <c r="A19" s="20" t="s">
        <v>368</v>
      </c>
      <c r="B19" s="20" t="s">
        <v>225</v>
      </c>
      <c r="C19" s="20" t="s">
        <v>369</v>
      </c>
      <c r="D19" s="20">
        <v>1.2</v>
      </c>
      <c r="E19" s="20" t="s">
        <v>11</v>
      </c>
      <c r="F19" s="20">
        <v>1075</v>
      </c>
      <c r="G19" s="20" t="s">
        <v>136</v>
      </c>
      <c r="H19" s="20">
        <v>10</v>
      </c>
      <c r="I19" s="20" t="s">
        <v>333</v>
      </c>
      <c r="J19" s="20" t="s">
        <v>317</v>
      </c>
      <c r="K19">
        <f t="shared" si="0"/>
        <v>1290</v>
      </c>
      <c r="M19" t="s">
        <v>423</v>
      </c>
      <c r="N19" s="50" cm="1">
        <f t="array" ref="N19">MIN(_xlfn._xlws.FILTER(D2:D37,I2:I37="Converted (Paid)"))</f>
        <v>1.2</v>
      </c>
      <c r="O19" s="50" cm="1">
        <f t="array" ref="O19">MIN(_xlfn._xlws.FILTER(D2:D37,I2:I37="Lost (No Payment / Ghosted)"))</f>
        <v>28.6</v>
      </c>
      <c r="Q19" t="s">
        <v>432</v>
      </c>
      <c r="R19" s="25">
        <f>COUNTIF(I2:I37,"Lost (No Payment / Ghosted)")/COUNTA(A2:A37)</f>
        <v>0.19444444444444445</v>
      </c>
    </row>
    <row r="20" spans="1:21">
      <c r="A20" s="20" t="s">
        <v>370</v>
      </c>
      <c r="B20" s="20" t="s">
        <v>231</v>
      </c>
      <c r="C20" s="20" t="s">
        <v>371</v>
      </c>
      <c r="D20" s="20">
        <v>5.6</v>
      </c>
      <c r="E20" s="20" t="s">
        <v>19</v>
      </c>
      <c r="F20" s="20">
        <v>374</v>
      </c>
      <c r="G20" s="20" t="s">
        <v>136</v>
      </c>
      <c r="H20" s="20">
        <v>10</v>
      </c>
      <c r="I20" s="20" t="s">
        <v>333</v>
      </c>
      <c r="J20" s="20" t="s">
        <v>319</v>
      </c>
      <c r="K20">
        <f t="shared" si="0"/>
        <v>2094.4</v>
      </c>
      <c r="M20" t="s">
        <v>424</v>
      </c>
      <c r="N20" s="50" cm="1">
        <f t="array" ref="N20">MAX(_xlfn._xlws.FILTER(D2:D37,I2:I37="Converted (Paid)"))</f>
        <v>47.5</v>
      </c>
      <c r="O20" s="50" cm="1">
        <f t="array" ref="O20">MAX(_xlfn._xlws.FILTER(D2:D37,I2:I37="Lost (No Payment / Ghosted)"))</f>
        <v>99.4</v>
      </c>
      <c r="Q20" t="s">
        <v>433</v>
      </c>
      <c r="R20" s="25">
        <f>COUNTIF(I2:I37,"Converted (Paid)")/COUNTA(A2:A37)</f>
        <v>0.80555555555555558</v>
      </c>
    </row>
    <row r="21" spans="1:21" ht="15" customHeight="1">
      <c r="A21" s="20" t="s">
        <v>372</v>
      </c>
      <c r="B21" s="20" t="s">
        <v>337</v>
      </c>
      <c r="C21" s="20" t="s">
        <v>373</v>
      </c>
      <c r="D21" s="20">
        <v>85.9</v>
      </c>
      <c r="E21" s="20" t="s">
        <v>10</v>
      </c>
      <c r="F21" s="20">
        <v>220</v>
      </c>
      <c r="G21" s="20" t="s">
        <v>136</v>
      </c>
      <c r="H21" s="20">
        <v>0</v>
      </c>
      <c r="I21" s="20" t="s">
        <v>339</v>
      </c>
      <c r="J21" s="20" t="s">
        <v>319</v>
      </c>
      <c r="K21">
        <f t="shared" si="0"/>
        <v>18898</v>
      </c>
      <c r="M21" t="s">
        <v>425</v>
      </c>
      <c r="N21" s="50" cm="1">
        <f t="array" ref="N21">MAX(_xlfn._xlws.FILTER(D2:D37,I2:I37="Converted (Paid)"))-MIN(_xlfn._xlws.FILTER(D2:D37,I2:I37="Converted (Paid)"))</f>
        <v>46.3</v>
      </c>
      <c r="O21" s="50" cm="1">
        <f t="array" ref="O21">MAX(_xlfn._xlws.FILTER(D2:D37,I2:I37="Lost (No Payment / Ghosted)"))-MIN(_xlfn._xlws.FILTER(D2:D37,I2:I37="Lost (No Payment / Ghosted)"))</f>
        <v>70.800000000000011</v>
      </c>
      <c r="R21" s="25"/>
      <c r="T21" s="27" t="s">
        <v>2</v>
      </c>
      <c r="U21" s="29" t="s">
        <v>475</v>
      </c>
    </row>
    <row r="22" spans="1:21">
      <c r="A22" s="20" t="s">
        <v>374</v>
      </c>
      <c r="B22" s="20" t="s">
        <v>243</v>
      </c>
      <c r="C22" s="20" t="s">
        <v>375</v>
      </c>
      <c r="D22" s="20">
        <v>3.5</v>
      </c>
      <c r="E22" s="20" t="s">
        <v>19</v>
      </c>
      <c r="F22" s="20">
        <v>474</v>
      </c>
      <c r="G22" s="20" t="s">
        <v>118</v>
      </c>
      <c r="H22" s="20">
        <v>0</v>
      </c>
      <c r="I22" s="20" t="s">
        <v>333</v>
      </c>
      <c r="J22" s="20" t="s">
        <v>319</v>
      </c>
      <c r="K22">
        <f t="shared" si="0"/>
        <v>1659</v>
      </c>
      <c r="M22" t="s">
        <v>426</v>
      </c>
      <c r="N22" s="50" cm="1">
        <f t="array" ref="N22">_xlfn.STDEV.S(_xlfn._xlws.FILTER(D2:D37,I2:I37="Converted (Paid)"))/AVERAGE(_xlfn._xlws.FILTER(D2:D37,I2:I37="Converted (Paid)"))</f>
        <v>1.2026661442037618</v>
      </c>
      <c r="O22" s="50" cm="1">
        <f t="array" ref="O22">_xlfn.STDEV.S(_xlfn._xlws.FILTER(D2:D37,I2:I37="Lost (No Payment / Ghosted)"))/AVERAGE(_xlfn._xlws.FILTER(D2:D37,I2:I37="Lost (No Payment / Ghosted)"))</f>
        <v>0.37422285715512749</v>
      </c>
      <c r="R22" s="25"/>
      <c r="T22" s="30" t="s">
        <v>10</v>
      </c>
      <c r="U22" s="58">
        <f>COUNTIFS(E2:E37,"Earrings",I2:I37,"Lost (No Payment / Ghosted)")/COUNTIF(E2:E37,"Earrings")</f>
        <v>0.21428571428571427</v>
      </c>
    </row>
    <row r="23" spans="1:21">
      <c r="A23" s="20" t="s">
        <v>376</v>
      </c>
      <c r="B23" s="20" t="s">
        <v>251</v>
      </c>
      <c r="C23" s="20" t="s">
        <v>377</v>
      </c>
      <c r="D23" s="20">
        <v>17.100000000000001</v>
      </c>
      <c r="E23" s="20" t="s">
        <v>10</v>
      </c>
      <c r="F23" s="20">
        <v>175</v>
      </c>
      <c r="G23" s="20" t="s">
        <v>136</v>
      </c>
      <c r="H23" s="20">
        <v>15</v>
      </c>
      <c r="I23" s="20" t="s">
        <v>333</v>
      </c>
      <c r="J23" s="20" t="s">
        <v>319</v>
      </c>
      <c r="K23">
        <f t="shared" si="0"/>
        <v>2992.5000000000005</v>
      </c>
      <c r="Q23" t="s">
        <v>434</v>
      </c>
      <c r="T23" s="30" t="s">
        <v>11</v>
      </c>
      <c r="U23" s="58">
        <f>COUNTIFS(E2:E37,"Bracelets",I2:I37,"Lost (No Payment / Ghosted)")/COUNTIF(E2:E37,"Bracelets")</f>
        <v>0.2</v>
      </c>
    </row>
    <row r="24" spans="1:21">
      <c r="A24" s="20" t="s">
        <v>378</v>
      </c>
      <c r="B24" s="20" t="s">
        <v>254</v>
      </c>
      <c r="C24" s="20" t="s">
        <v>379</v>
      </c>
      <c r="D24" s="20">
        <v>4.7</v>
      </c>
      <c r="E24" s="20" t="s">
        <v>10</v>
      </c>
      <c r="F24" s="20">
        <v>598</v>
      </c>
      <c r="G24" s="20" t="s">
        <v>136</v>
      </c>
      <c r="H24" s="20">
        <v>20</v>
      </c>
      <c r="I24" s="20" t="s">
        <v>333</v>
      </c>
      <c r="J24" s="20" t="s">
        <v>319</v>
      </c>
      <c r="K24">
        <f t="shared" si="0"/>
        <v>2810.6</v>
      </c>
      <c r="Q24" t="s">
        <v>435</v>
      </c>
      <c r="R24">
        <f>SUMIF(I2:I37,"Lost (No Payment / Ghosted)",F2:F37)</f>
        <v>2320</v>
      </c>
      <c r="T24" s="30" t="s">
        <v>16</v>
      </c>
      <c r="U24" s="58">
        <f>COUNTIFS(E2:E37,"Rings",I2:I37,"Lost (No Payment / Ghosted)")/COUNTIF(E2:E37,"Rings")</f>
        <v>0.25</v>
      </c>
    </row>
    <row r="25" spans="1:21">
      <c r="A25" s="20" t="s">
        <v>380</v>
      </c>
      <c r="B25" s="20" t="s">
        <v>260</v>
      </c>
      <c r="C25" s="20" t="s">
        <v>381</v>
      </c>
      <c r="D25" s="20">
        <v>2.1</v>
      </c>
      <c r="E25" s="20" t="s">
        <v>11</v>
      </c>
      <c r="F25" s="20">
        <v>774</v>
      </c>
      <c r="G25" s="20" t="s">
        <v>118</v>
      </c>
      <c r="H25" s="20">
        <v>0</v>
      </c>
      <c r="I25" s="20" t="s">
        <v>333</v>
      </c>
      <c r="J25" s="20" t="s">
        <v>319</v>
      </c>
      <c r="K25">
        <f t="shared" si="0"/>
        <v>1625.4</v>
      </c>
      <c r="M25" t="s">
        <v>427</v>
      </c>
      <c r="Q25" t="s">
        <v>437</v>
      </c>
      <c r="R25">
        <f>SUMIF(I2:I37,"Converted (Paid)",K2:K37)</f>
        <v>138871.4</v>
      </c>
      <c r="T25" s="30" t="s">
        <v>19</v>
      </c>
      <c r="U25" s="58">
        <f>COUNTIFS(E2:E37,"Neckpieces",I2:I37,"Lost (No Payment / Ghosted)")/COUNTIF(E2:E37,"Neckpieces")</f>
        <v>0</v>
      </c>
    </row>
    <row r="26" spans="1:21">
      <c r="A26" s="20" t="s">
        <v>382</v>
      </c>
      <c r="B26" s="20" t="s">
        <v>263</v>
      </c>
      <c r="C26" s="20" t="s">
        <v>383</v>
      </c>
      <c r="D26" s="20">
        <v>1.5</v>
      </c>
      <c r="E26" s="20" t="s">
        <v>10</v>
      </c>
      <c r="F26" s="20">
        <v>275</v>
      </c>
      <c r="G26" s="20" t="s">
        <v>136</v>
      </c>
      <c r="H26" s="20">
        <v>7</v>
      </c>
      <c r="I26" s="20" t="s">
        <v>333</v>
      </c>
      <c r="J26" s="20" t="s">
        <v>319</v>
      </c>
      <c r="K26">
        <f t="shared" si="0"/>
        <v>412.5</v>
      </c>
      <c r="M26" t="s">
        <v>428</v>
      </c>
      <c r="N26" s="50">
        <f>SUM(F2:F37)</f>
        <v>16700</v>
      </c>
      <c r="Q26" t="s">
        <v>438</v>
      </c>
      <c r="R26">
        <f>SUMIF(I2:I37,"Lost (No Payment / Ghosted)",K2:K37)</f>
        <v>173957</v>
      </c>
    </row>
    <row r="27" spans="1:21">
      <c r="A27" s="20" t="s">
        <v>384</v>
      </c>
      <c r="B27" s="20" t="s">
        <v>269</v>
      </c>
      <c r="C27" s="20" t="s">
        <v>385</v>
      </c>
      <c r="D27" s="20">
        <v>1.8</v>
      </c>
      <c r="E27" s="20" t="s">
        <v>10</v>
      </c>
      <c r="F27" s="20">
        <v>550</v>
      </c>
      <c r="G27" s="20" t="s">
        <v>136</v>
      </c>
      <c r="H27" s="20">
        <v>20</v>
      </c>
      <c r="I27" s="20" t="s">
        <v>333</v>
      </c>
      <c r="J27" s="20" t="s">
        <v>319</v>
      </c>
      <c r="K27">
        <f t="shared" si="0"/>
        <v>990</v>
      </c>
      <c r="M27" t="s">
        <v>429</v>
      </c>
      <c r="N27" s="50">
        <f>AVERAGE(F2:F37)</f>
        <v>463.88888888888891</v>
      </c>
      <c r="R27" s="25"/>
    </row>
    <row r="28" spans="1:21" ht="13" customHeight="1">
      <c r="A28" s="20" t="s">
        <v>386</v>
      </c>
      <c r="B28" s="20" t="s">
        <v>337</v>
      </c>
      <c r="C28" s="20" t="s">
        <v>387</v>
      </c>
      <c r="D28" s="20">
        <v>87.3</v>
      </c>
      <c r="E28" s="20" t="s">
        <v>10</v>
      </c>
      <c r="F28" s="20">
        <v>198</v>
      </c>
      <c r="G28" s="20" t="s">
        <v>136</v>
      </c>
      <c r="H28" s="20">
        <v>0</v>
      </c>
      <c r="I28" s="20" t="s">
        <v>339</v>
      </c>
      <c r="J28" s="20" t="s">
        <v>319</v>
      </c>
      <c r="K28">
        <f t="shared" si="0"/>
        <v>17285.399999999998</v>
      </c>
      <c r="T28" s="27" t="s">
        <v>305</v>
      </c>
      <c r="U28" s="29" t="s">
        <v>475</v>
      </c>
    </row>
    <row r="29" spans="1:21">
      <c r="A29" s="20" t="s">
        <v>388</v>
      </c>
      <c r="B29" s="20" t="s">
        <v>274</v>
      </c>
      <c r="C29" s="20" t="s">
        <v>389</v>
      </c>
      <c r="D29" s="20">
        <v>2.9</v>
      </c>
      <c r="E29" s="20" t="s">
        <v>16</v>
      </c>
      <c r="F29" s="20">
        <v>249</v>
      </c>
      <c r="G29" s="20" t="s">
        <v>118</v>
      </c>
      <c r="H29" s="20">
        <v>0</v>
      </c>
      <c r="I29" s="20" t="s">
        <v>333</v>
      </c>
      <c r="J29" s="20" t="s">
        <v>319</v>
      </c>
      <c r="K29">
        <f t="shared" si="0"/>
        <v>722.1</v>
      </c>
      <c r="T29" s="30" t="s">
        <v>315</v>
      </c>
      <c r="U29" s="58">
        <f>COUNTIFS(J2:J37,"Mar",I2:I37,"Lost (No Payment / Ghosted)")/COUNTIF(J2:J37,"Mar")</f>
        <v>0.25</v>
      </c>
    </row>
    <row r="30" spans="1:21">
      <c r="A30" s="20" t="s">
        <v>390</v>
      </c>
      <c r="B30" s="20" t="s">
        <v>277</v>
      </c>
      <c r="C30" s="20" t="s">
        <v>391</v>
      </c>
      <c r="D30" s="20">
        <v>5.9</v>
      </c>
      <c r="E30" s="20" t="s">
        <v>11</v>
      </c>
      <c r="F30" s="20">
        <v>450</v>
      </c>
      <c r="G30" s="20" t="s">
        <v>118</v>
      </c>
      <c r="H30" s="20">
        <v>0</v>
      </c>
      <c r="I30" s="20" t="s">
        <v>333</v>
      </c>
      <c r="J30" s="20" t="s">
        <v>319</v>
      </c>
      <c r="K30">
        <f t="shared" si="0"/>
        <v>2655</v>
      </c>
      <c r="M30" t="s">
        <v>330</v>
      </c>
      <c r="N30" t="s">
        <v>468</v>
      </c>
      <c r="T30" s="30" t="s">
        <v>317</v>
      </c>
      <c r="U30" s="58">
        <f>COUNTIFS(J2:J37,"Apr",I2:I37,"Lost (No Payment / Ghosted)")/COUNTIF(J2:J37,"Apr")</f>
        <v>0.2</v>
      </c>
    </row>
    <row r="31" spans="1:21">
      <c r="A31" s="20" t="s">
        <v>392</v>
      </c>
      <c r="B31" s="20" t="s">
        <v>281</v>
      </c>
      <c r="C31" s="20" t="s">
        <v>393</v>
      </c>
      <c r="D31" s="20">
        <v>39.700000000000003</v>
      </c>
      <c r="E31" s="20" t="s">
        <v>10</v>
      </c>
      <c r="F31" s="20">
        <v>600</v>
      </c>
      <c r="G31" s="20" t="s">
        <v>136</v>
      </c>
      <c r="H31" s="20">
        <v>10</v>
      </c>
      <c r="I31" s="20" t="s">
        <v>333</v>
      </c>
      <c r="J31" s="20" t="s">
        <v>319</v>
      </c>
      <c r="K31">
        <f t="shared" si="0"/>
        <v>23820</v>
      </c>
      <c r="M31" t="s">
        <v>419</v>
      </c>
      <c r="N31">
        <f>ROUND(COUNTIFS(I2:I37,"Converted (Paid)",G2:G37,"Yes")/COUNTIF(I2:I37,"Converted (Paid)")*100,1)</f>
        <v>69</v>
      </c>
      <c r="T31" s="30" t="s">
        <v>319</v>
      </c>
      <c r="U31" s="58">
        <f>COUNTIFS(J2:J37,"May",I2:I37,"Lost (No Payment / Ghosted)")/COUNTIF(J2:J37,"May")</f>
        <v>0.16666666666666666</v>
      </c>
    </row>
    <row r="32" spans="1:21">
      <c r="A32" s="20" t="s">
        <v>394</v>
      </c>
      <c r="B32" s="20" t="s">
        <v>280</v>
      </c>
      <c r="C32" s="20" t="s">
        <v>395</v>
      </c>
      <c r="D32" s="20">
        <v>4.5999999999999996</v>
      </c>
      <c r="E32" s="20" t="s">
        <v>11</v>
      </c>
      <c r="F32" s="20">
        <v>697</v>
      </c>
      <c r="G32" s="20" t="s">
        <v>136</v>
      </c>
      <c r="H32" s="20">
        <v>15</v>
      </c>
      <c r="I32" s="20" t="s">
        <v>333</v>
      </c>
      <c r="J32" s="20" t="s">
        <v>319</v>
      </c>
      <c r="K32">
        <f t="shared" si="0"/>
        <v>3206.2</v>
      </c>
      <c r="M32" t="s">
        <v>420</v>
      </c>
      <c r="N32" s="50">
        <f>ROUND(COUNTIFS(I2:I37,"Lost (No Payment / Ghosted)",G2:G37,"Yes")/COUNTIF(I2:I37,"Lost (No Payment / Ghosted)")*100,1)</f>
        <v>85.7</v>
      </c>
    </row>
    <row r="33" spans="1:21">
      <c r="A33" s="20" t="s">
        <v>396</v>
      </c>
      <c r="B33" s="20" t="s">
        <v>288</v>
      </c>
      <c r="C33" s="20" t="s">
        <v>397</v>
      </c>
      <c r="D33" s="20">
        <v>3.3</v>
      </c>
      <c r="E33" s="20" t="s">
        <v>10</v>
      </c>
      <c r="F33" s="20">
        <v>563</v>
      </c>
      <c r="G33" s="20" t="s">
        <v>118</v>
      </c>
      <c r="H33" s="20">
        <v>0</v>
      </c>
      <c r="I33" s="20" t="s">
        <v>333</v>
      </c>
      <c r="J33" s="20" t="s">
        <v>319</v>
      </c>
      <c r="K33">
        <f t="shared" si="0"/>
        <v>1857.8999999999999</v>
      </c>
    </row>
    <row r="34" spans="1:21">
      <c r="A34" s="20" t="s">
        <v>398</v>
      </c>
      <c r="B34" s="20" t="s">
        <v>290</v>
      </c>
      <c r="C34" s="20" t="s">
        <v>399</v>
      </c>
      <c r="D34" s="20">
        <v>21.5</v>
      </c>
      <c r="E34" s="20" t="s">
        <v>19</v>
      </c>
      <c r="F34" s="20">
        <v>398</v>
      </c>
      <c r="G34" s="20" t="s">
        <v>136</v>
      </c>
      <c r="H34" s="20">
        <v>8</v>
      </c>
      <c r="I34" s="20" t="s">
        <v>333</v>
      </c>
      <c r="J34" s="20" t="s">
        <v>319</v>
      </c>
      <c r="K34">
        <f t="shared" si="0"/>
        <v>8557</v>
      </c>
      <c r="T34" s="27" t="s">
        <v>330</v>
      </c>
      <c r="U34" s="29" t="s">
        <v>455</v>
      </c>
    </row>
    <row r="35" spans="1:21">
      <c r="A35" s="20" t="s">
        <v>400</v>
      </c>
      <c r="B35" s="20" t="s">
        <v>337</v>
      </c>
      <c r="C35" s="20" t="s">
        <v>401</v>
      </c>
      <c r="D35" s="20">
        <v>99.4</v>
      </c>
      <c r="E35" s="20" t="s">
        <v>11</v>
      </c>
      <c r="F35" s="20">
        <v>640</v>
      </c>
      <c r="G35" s="20" t="s">
        <v>136</v>
      </c>
      <c r="H35" s="20">
        <v>0</v>
      </c>
      <c r="I35" s="20" t="s">
        <v>339</v>
      </c>
      <c r="J35" s="20" t="s">
        <v>319</v>
      </c>
      <c r="K35">
        <f t="shared" si="0"/>
        <v>63616</v>
      </c>
      <c r="T35" s="30" t="s">
        <v>419</v>
      </c>
      <c r="U35" s="28">
        <f>COUNTIF(I2:I37,"Converted (Paid)")</f>
        <v>29</v>
      </c>
    </row>
    <row r="36" spans="1:21">
      <c r="A36" s="20" t="s">
        <v>402</v>
      </c>
      <c r="B36" s="20" t="s">
        <v>292</v>
      </c>
      <c r="C36" s="20" t="s">
        <v>403</v>
      </c>
      <c r="D36" s="20">
        <v>1.5</v>
      </c>
      <c r="E36" s="20" t="s">
        <v>11</v>
      </c>
      <c r="F36" s="20">
        <v>249</v>
      </c>
      <c r="G36" s="20" t="s">
        <v>136</v>
      </c>
      <c r="H36" s="20">
        <v>15</v>
      </c>
      <c r="I36" s="20" t="s">
        <v>333</v>
      </c>
      <c r="J36" s="20" t="s">
        <v>319</v>
      </c>
      <c r="K36">
        <f t="shared" si="0"/>
        <v>373.5</v>
      </c>
      <c r="T36" s="30" t="s">
        <v>420</v>
      </c>
      <c r="U36" s="28">
        <f>COUNTIF(I2:I37,"Lost (No Payment / Ghosted)")</f>
        <v>7</v>
      </c>
    </row>
    <row r="37" spans="1:21">
      <c r="A37" s="20" t="s">
        <v>404</v>
      </c>
      <c r="B37" s="20" t="s">
        <v>297</v>
      </c>
      <c r="C37" s="20" t="s">
        <v>405</v>
      </c>
      <c r="D37" s="20">
        <v>1.8</v>
      </c>
      <c r="E37" s="20" t="s">
        <v>11</v>
      </c>
      <c r="F37" s="20">
        <v>947</v>
      </c>
      <c r="G37" s="20" t="s">
        <v>136</v>
      </c>
      <c r="H37" s="20">
        <v>15</v>
      </c>
      <c r="I37" s="20" t="s">
        <v>333</v>
      </c>
      <c r="J37" s="20" t="s">
        <v>319</v>
      </c>
      <c r="K37">
        <f t="shared" si="0"/>
        <v>1704.6000000000001</v>
      </c>
    </row>
    <row r="39" spans="1:21">
      <c r="T39" s="27" t="s">
        <v>456</v>
      </c>
      <c r="U39" s="29" t="s">
        <v>457</v>
      </c>
    </row>
    <row r="40" spans="1:21" ht="43.5">
      <c r="T40" s="30" t="s">
        <v>458</v>
      </c>
      <c r="U40" s="28">
        <f>SUMIFS(F2:F37,G2:G37,"Yes",I2:I37,"Converted (Paid)")</f>
        <v>10230</v>
      </c>
    </row>
    <row r="41" spans="1:21" ht="43.5">
      <c r="T41" s="30" t="s">
        <v>443</v>
      </c>
      <c r="U41" s="28" cm="1">
        <f t="array" ref="U41">SUMPRODUCT((G2:G37="Yes")*(I2:I37="Converted (Paid)")*F2:F37*H2:H37/100)</f>
        <v>1198.4399999999998</v>
      </c>
    </row>
    <row r="44" spans="1:21">
      <c r="T44" s="27" t="s">
        <v>459</v>
      </c>
      <c r="U44" s="29" t="s">
        <v>460</v>
      </c>
    </row>
    <row r="45" spans="1:21" ht="29">
      <c r="T45" s="30" t="s">
        <v>461</v>
      </c>
      <c r="U45">
        <f>COUNTIFS(I2:I37,"Lost (No Payment / Ghosted)",D2:D37,"&gt;24")</f>
        <v>7</v>
      </c>
    </row>
    <row r="46" spans="1:21" ht="29">
      <c r="T46" s="30" t="s">
        <v>462</v>
      </c>
      <c r="U46">
        <f>COUNTIFS(I3:I38,"Lost (No Payment / Ghosted)",D3:D38,"&gt;48")</f>
        <v>5</v>
      </c>
    </row>
    <row r="49" spans="1:22" ht="29">
      <c r="T49" s="27" t="s">
        <v>459</v>
      </c>
      <c r="U49" s="29" t="s">
        <v>463</v>
      </c>
      <c r="V49" s="31"/>
    </row>
    <row r="50" spans="1:22">
      <c r="T50" s="30" t="s">
        <v>464</v>
      </c>
      <c r="U50">
        <f>SUMIFS(F2:F37,I2:I37,"Lost (No Payment / Ghosted)",D2:D37,"&gt;24")</f>
        <v>2320</v>
      </c>
    </row>
    <row r="51" spans="1:22">
      <c r="T51" s="30" t="s">
        <v>465</v>
      </c>
      <c r="U51">
        <f>SUMIFS(F2:F37,I2:I37,"Lost (No Payment / Ghosted)",D2:D37,"&gt;48")</f>
        <v>1813</v>
      </c>
    </row>
    <row r="52" spans="1:22" ht="16" customHeight="1">
      <c r="A52" s="59"/>
      <c r="B52" s="60"/>
      <c r="C52" s="60"/>
      <c r="D52" s="60"/>
      <c r="E52" s="60"/>
      <c r="F52" s="60"/>
      <c r="G52" s="60"/>
      <c r="H52" s="60"/>
      <c r="I52" s="60"/>
      <c r="J52" s="60"/>
    </row>
    <row r="54" spans="1:22" ht="29">
      <c r="T54" s="27" t="s">
        <v>330</v>
      </c>
      <c r="U54" s="29" t="s">
        <v>466</v>
      </c>
    </row>
    <row r="55" spans="1:22">
      <c r="T55" s="30" t="s">
        <v>419</v>
      </c>
      <c r="U55" s="28">
        <f>SUMIF(I2:I37,"Converted (Paid)",K2:K37)</f>
        <v>138871.4</v>
      </c>
    </row>
    <row r="56" spans="1:22">
      <c r="T56" s="30" t="s">
        <v>420</v>
      </c>
      <c r="U56" s="28">
        <f>SUMIF(I2:I37,"Lost (No Payment / Ghosted)",K2:K37)</f>
        <v>173957</v>
      </c>
    </row>
  </sheetData>
  <mergeCells count="1">
    <mergeCell ref="A52:J5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Invoices</vt:lpstr>
      <vt:lpstr>Daily Sales</vt:lpstr>
      <vt:lpstr>Product Summary</vt:lpstr>
      <vt:lpstr>All Holds</vt:lpstr>
      <vt:lpstr>Hold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919007212563</cp:lastModifiedBy>
  <cp:revision>0</cp:revision>
  <dcterms:created xsi:type="dcterms:W3CDTF">2026-06-07T14:21:09Z</dcterms:created>
  <dcterms:modified xsi:type="dcterms:W3CDTF">2026-08-20T06:58:00Z</dcterms:modified>
  <dc:language>en-US</dc:language>
</cp:coreProperties>
</file>