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D:\BDM\"/>
    </mc:Choice>
  </mc:AlternateContent>
  <xr:revisionPtr revIDLastSave="0" documentId="13_ncr:1_{36CF81F3-D2B5-4D84-986A-8C207AB6E393}" xr6:coauthVersionLast="47" xr6:coauthVersionMax="47" xr10:uidLastSave="{00000000-0000-0000-0000-000000000000}"/>
  <bookViews>
    <workbookView xWindow="-110" yWindow="-110" windowWidth="19420" windowHeight="12220" tabRatio="500" firstSheet="1" activeTab="3" xr2:uid="{00000000-000D-0000-FFFF-FFFF00000000}"/>
  </bookViews>
  <sheets>
    <sheet name="Invoices" sheetId="1" r:id="rId1"/>
    <sheet name="Daily Sales" sheetId="2" r:id="rId2"/>
    <sheet name="Product Summary" sheetId="3" r:id="rId3"/>
    <sheet name="Hold Tracker" sheetId="4" r:id="rId4"/>
  </sheets>
  <definedNames>
    <definedName name="_xlcn.WorksheetConnection_DailySalesA1I205" hidden="1">'Daily Sales'!$A$1:$I$205</definedName>
  </definedNames>
  <calcPr calcId="191029" iterateDelta="1E-4"/>
  <pivotCaches>
    <pivotCache cacheId="0" r:id="rId5"/>
    <pivotCache cacheId="1" r:id="rId6"/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3" l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V5" i="4"/>
  <c r="U5" i="4"/>
  <c r="V4" i="4"/>
  <c r="U4" i="4"/>
  <c r="V3" i="4"/>
  <c r="U3" i="4"/>
  <c r="V2" i="4"/>
  <c r="U2" i="4"/>
  <c r="R12" i="4"/>
  <c r="R11" i="4"/>
  <c r="R10" i="4"/>
  <c r="R9" i="4"/>
  <c r="R5" i="4"/>
  <c r="R4" i="4"/>
  <c r="R3" i="4"/>
  <c r="R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2" i="4"/>
  <c r="R32" i="4" s="1"/>
  <c r="R31" i="4"/>
  <c r="R27" i="4"/>
  <c r="R26" i="4"/>
  <c r="O18" i="4" a="1"/>
  <c r="R25" i="4"/>
  <c r="R24" i="4"/>
  <c r="R23" i="4"/>
  <c r="R22" i="4"/>
  <c r="R21" i="4"/>
  <c r="R20" i="4"/>
  <c r="R19" i="4"/>
  <c r="R18" i="4"/>
  <c r="R17" i="4"/>
  <c r="R16" i="4"/>
  <c r="N34" i="4"/>
  <c r="N33" i="4"/>
  <c r="N32" i="4"/>
  <c r="N31" i="4"/>
  <c r="N30" i="4"/>
  <c r="N29" i="4"/>
  <c r="N28" i="4"/>
  <c r="N27" i="4"/>
  <c r="N26" i="4"/>
  <c r="O22" i="4" a="1"/>
  <c r="N22" i="4" a="1"/>
  <c r="O21" i="4" a="1"/>
  <c r="N21" i="4" a="1"/>
  <c r="O20" i="4" a="1"/>
  <c r="N20" i="4" a="1"/>
  <c r="O19" i="4" a="1"/>
  <c r="N19" i="4" a="1"/>
  <c r="N18" i="4" a="1"/>
  <c r="O17" i="4" a="1"/>
  <c r="N17" i="4" a="1"/>
  <c r="O16" i="4"/>
  <c r="N16" i="4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X7" i="2"/>
  <c r="I7" i="2"/>
  <c r="H7" i="2"/>
  <c r="I6" i="2"/>
  <c r="H6" i="2"/>
  <c r="I5" i="2"/>
  <c r="H5" i="2"/>
  <c r="I4" i="2"/>
  <c r="H4" i="2"/>
  <c r="I3" i="2"/>
  <c r="H3" i="2"/>
  <c r="I2" i="2"/>
  <c r="H2" i="2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P9" i="3"/>
  <c r="G9" i="3"/>
  <c r="P8" i="3"/>
  <c r="G8" i="3"/>
  <c r="G7" i="3"/>
  <c r="G6" i="3"/>
  <c r="K5" i="3"/>
  <c r="G5" i="3"/>
  <c r="P4" i="3"/>
  <c r="K4" i="3"/>
  <c r="G4" i="3"/>
  <c r="P3" i="3"/>
  <c r="K3" i="3"/>
  <c r="G3" i="3"/>
  <c r="P2" i="3"/>
  <c r="K2" i="3"/>
  <c r="L2" i="3" s="1"/>
  <c r="L3" i="3" s="1"/>
  <c r="L4" i="3" s="1"/>
  <c r="L5" i="3" s="1"/>
  <c r="G2" i="3"/>
  <c r="Z17" i="2" l="1"/>
  <c r="X20" i="2"/>
  <c r="X18" i="2"/>
  <c r="Z18" i="2"/>
  <c r="Y18" i="2"/>
  <c r="X19" i="2"/>
  <c r="Y19" i="2"/>
  <c r="Z19" i="2"/>
  <c r="Y20" i="2"/>
  <c r="Z20" i="2"/>
  <c r="Y17" i="2"/>
  <c r="X17" i="2"/>
  <c r="R33" i="4"/>
  <c r="X6" i="2"/>
  <c r="X4" i="2"/>
  <c r="X5" i="2"/>
  <c r="X10" i="2"/>
  <c r="X9" i="2"/>
  <c r="X8" i="2"/>
  <c r="P5" i="3"/>
  <c r="H45" i="3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P6" i="3"/>
  <c r="P7" i="3"/>
  <c r="AB20" i="2" l="1"/>
  <c r="AA20" i="2"/>
  <c r="AA18" i="2"/>
  <c r="AB18" i="2"/>
  <c r="AC18" i="2" s="1"/>
  <c r="AA19" i="2"/>
  <c r="AB19" i="2"/>
  <c r="AA17" i="2"/>
  <c r="AB17" i="2"/>
  <c r="AC20" i="2" l="1"/>
  <c r="AC19" i="2"/>
  <c r="AC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<sst xmlns="http://schemas.openxmlformats.org/spreadsheetml/2006/main" count="2739" uniqueCount="498">
  <si>
    <t>#</t>
  </si>
  <si>
    <t>Product Name</t>
  </si>
  <si>
    <t>Category</t>
  </si>
  <si>
    <t>Total Qty Sold</t>
  </si>
  <si>
    <t>Unit Price (₹)</t>
  </si>
  <si>
    <t>Units Returned</t>
  </si>
  <si>
    <t>Total Revenue</t>
  </si>
  <si>
    <t>Cumulative Revenue %</t>
  </si>
  <si>
    <t>Descriptive Stats (Product Summary)</t>
  </si>
  <si>
    <t>Zenith Spark Anti-Tarnish Earrings</t>
  </si>
  <si>
    <t>Earrings</t>
  </si>
  <si>
    <t>Bracelets</t>
  </si>
  <si>
    <t>Max Unit Price (₹)</t>
  </si>
  <si>
    <t>Vanki Anti-Tarnish Radiant Drop</t>
  </si>
  <si>
    <t>Min Unit Price (₹)</t>
  </si>
  <si>
    <t>Lume Wear Non-Tarnish Bangle</t>
  </si>
  <si>
    <t>Rings</t>
  </si>
  <si>
    <t>Avg Unit Price (₹)</t>
  </si>
  <si>
    <t>Pure Luxe Non-Tarnish Bangle</t>
  </si>
  <si>
    <t>Neckpieces</t>
  </si>
  <si>
    <t>Max Revenue Single Product (₹)</t>
  </si>
  <si>
    <t>Luna Spark Anti-Tarnish Ring</t>
  </si>
  <si>
    <t>Min Revenue Single Product (₹)</t>
  </si>
  <si>
    <t>Shine Shield Anti-Tarnish Bangle</t>
  </si>
  <si>
    <t>Avg Revenue per Product (₹)</t>
  </si>
  <si>
    <t>Non-Tarnish Perma Shine Bangle</t>
  </si>
  <si>
    <t>Total Unique Products</t>
  </si>
  <si>
    <t>Vanki Glow Star Studs</t>
  </si>
  <si>
    <t>Total Units Sold</t>
  </si>
  <si>
    <t>Orchid Bloom Anti-Tarnish Bangle</t>
  </si>
  <si>
    <t>Total Revenue (₹)</t>
  </si>
  <si>
    <t>Halo Gleam Anti-Tarnish Bangles</t>
  </si>
  <si>
    <t>Golden Monarch Anti-Tarnish Bangle</t>
  </si>
  <si>
    <t>Bamboo Bliss Non-Tarnish Bangle</t>
  </si>
  <si>
    <t>Crystal Charm Ring</t>
  </si>
  <si>
    <t>Golden Dots Anti-Tarnish Bangles</t>
  </si>
  <si>
    <t>Vanki Anti-Tarnish Wings Bangles</t>
  </si>
  <si>
    <t>Royal Bloom Adjustable Ring</t>
  </si>
  <si>
    <t>Elegance Unbound Anti-Tarnish Bangle</t>
  </si>
  <si>
    <t>Luminous Loop Anti-Tarnish Bangle</t>
  </si>
  <si>
    <t>Starlit Anti-Tarnish Huggie Earrings</t>
  </si>
  <si>
    <t>Vanki Golden Dragonfly Anti-Tarnish Ear Cuff</t>
  </si>
  <si>
    <t>Daily Glow Anti-Tarnish Earrings</t>
  </si>
  <si>
    <t>Vanki Nova Shine</t>
  </si>
  <si>
    <t>Little Luxe Anti-Tarnish Stud</t>
  </si>
  <si>
    <t>Eternal Shine Ring</t>
  </si>
  <si>
    <t>Non-Tarnish Golden Zenith Bangles</t>
  </si>
  <si>
    <t>Vanki Prism Shine Anti-Tarnish Earrings</t>
  </si>
  <si>
    <t>Vanki Spark Anti-Tarnish Earrings</t>
  </si>
  <si>
    <t>Vanki Nova Anti-Tarnish Earrings</t>
  </si>
  <si>
    <t>Glow Bar Anti-Tarnish Chain pendant</t>
  </si>
  <si>
    <t>Aurel Anti-Tarnish Bangles</t>
  </si>
  <si>
    <t>Anti-Tarnish Infinite Shine Drop</t>
  </si>
  <si>
    <t>Vanki Fly away Anti tarnish Stud</t>
  </si>
  <si>
    <t>Vanki Radiance Pendant with Pendant set</t>
  </si>
  <si>
    <t>Glow fly Anti-Tarnish Stud</t>
  </si>
  <si>
    <t>Shine Aura Non-Tarnish Bangle</t>
  </si>
  <si>
    <t>Non-Tarnish Eterna Band</t>
  </si>
  <si>
    <t>Ever Glow Non-Tarnish Bangle</t>
  </si>
  <si>
    <t>Anti-Tarnish Artistry Dots</t>
  </si>
  <si>
    <t>Honey Pop Anti-Tarnish Earrings</t>
  </si>
  <si>
    <t>Aurora Loop Anti-Tarnish Bangle</t>
  </si>
  <si>
    <t>Celestial Trinity Non Tarnish Chain Pendant</t>
  </si>
  <si>
    <t>Lumi Anti-Tarnish Bangles</t>
  </si>
  <si>
    <t>Crown Jewel Drops</t>
  </si>
  <si>
    <t>Trivara Anti-tarnish Earrings</t>
  </si>
  <si>
    <t>Mystic Wing Anti-Tarnish Earrings</t>
  </si>
  <si>
    <t>Vanki Skybird Chain with Pendant</t>
  </si>
  <si>
    <t>Embellished Rose Gold Ring</t>
  </si>
  <si>
    <t>Vanki Tide Spark Tarnish proof Studs</t>
  </si>
  <si>
    <t>Velour Rose Chain Pendant</t>
  </si>
  <si>
    <t>Luminous Delight Anti-Tarnish Bangles</t>
  </si>
  <si>
    <t>Sculpted Open Golden Ring</t>
  </si>
  <si>
    <t>Golden Statement Ring</t>
  </si>
  <si>
    <t>Aurora Loop Anti-Tarnish Bangles</t>
  </si>
  <si>
    <t>Wavy Stainless Steel Anti-Tarnish Ring</t>
  </si>
  <si>
    <t>Vanki Nova Anti-Tarnish Bangle</t>
  </si>
  <si>
    <t>Wings of Fortune Anti-Tarnish Bangle</t>
  </si>
  <si>
    <t>Lustrous Legacy Anti-Tarnish Bangles</t>
  </si>
  <si>
    <t>Vanki Twirl Charm Chain Pendant</t>
  </si>
  <si>
    <t>Aqua Wave Charm Chain Pendant</t>
  </si>
  <si>
    <t>Candy Knot Anti-Tarnish Studs</t>
  </si>
  <si>
    <t>Crystal Glow Dots Anti-Tarnish Earrings</t>
  </si>
  <si>
    <t>Vanki Glow Mood Anti-Tarnish Earrings</t>
  </si>
  <si>
    <t>Infinite Shine Vanki Anti-Tarnish Drop Earrings</t>
  </si>
  <si>
    <t>Velvet Spark Anti-Tarnish Earrings</t>
  </si>
  <si>
    <t>Stainless Steel Anti-Tarnish Golden Ring</t>
  </si>
  <si>
    <t>Vanki Non-Tarnish Evil Eye Bangles</t>
  </si>
  <si>
    <t>Starlet Anti-Tarnish Studs</t>
  </si>
  <si>
    <t>Sweet Twinkle Anti-Tarnish Earrings</t>
  </si>
  <si>
    <t>Silver-Plated Anti-Tarnish Anxiety Spinning Ring Inlaid with Cubic Zirconia Stones</t>
  </si>
  <si>
    <t>Enamelled Gold Ring</t>
  </si>
  <si>
    <t>Twinkle Babe Anti-Tarnish Studs</t>
  </si>
  <si>
    <t>The Tangled Heart - Golden Adjustable Ring</t>
  </si>
  <si>
    <t>Butterfly Twist Ring</t>
  </si>
  <si>
    <t>Golden Adjustable Ring</t>
  </si>
  <si>
    <t>Order No.</t>
  </si>
  <si>
    <t>Date (DD-MM-YYYY)</t>
  </si>
  <si>
    <t>No. of Items</t>
  </si>
  <si>
    <t>Item 1 Name</t>
  </si>
  <si>
    <t>Item 1 Category</t>
  </si>
  <si>
    <t>Item 1 Qty</t>
  </si>
  <si>
    <t>Item 1 Price (₹)</t>
  </si>
  <si>
    <t>Item 2 Name</t>
  </si>
  <si>
    <t>Item 2 Category</t>
  </si>
  <si>
    <t>Item 2 Qty</t>
  </si>
  <si>
    <t>Item 2 Price (₹)</t>
  </si>
  <si>
    <t>Item 3 Name</t>
  </si>
  <si>
    <t>Item 3 Category</t>
  </si>
  <si>
    <t>Item 3 Qty</t>
  </si>
  <si>
    <t>Item 3 Price (₹)</t>
  </si>
  <si>
    <t>Order Total (₹)</t>
  </si>
  <si>
    <t>Payment</t>
  </si>
  <si>
    <t>Returned?</t>
  </si>
  <si>
    <t>ORD001</t>
  </si>
  <si>
    <t>01-03-2026</t>
  </si>
  <si>
    <t>-</t>
  </si>
  <si>
    <t>UPI</t>
  </si>
  <si>
    <t>No</t>
  </si>
  <si>
    <t>ORD002</t>
  </si>
  <si>
    <t>02-03-2026</t>
  </si>
  <si>
    <t>ORD003</t>
  </si>
  <si>
    <t>04-03-2026</t>
  </si>
  <si>
    <t>Card</t>
  </si>
  <si>
    <t>ORD004</t>
  </si>
  <si>
    <t>05-03-2026</t>
  </si>
  <si>
    <t>ORD005</t>
  </si>
  <si>
    <t>06-03-2026</t>
  </si>
  <si>
    <t>ORD006</t>
  </si>
  <si>
    <t>07-03-2026</t>
  </si>
  <si>
    <t>ORD007</t>
  </si>
  <si>
    <t>09-03-2026</t>
  </si>
  <si>
    <t>ORD008</t>
  </si>
  <si>
    <t>11-03-2026</t>
  </si>
  <si>
    <t>ORD009</t>
  </si>
  <si>
    <t>13-03-2026</t>
  </si>
  <si>
    <t>Yes</t>
  </si>
  <si>
    <t>ORD010</t>
  </si>
  <si>
    <t>15-03-2026</t>
  </si>
  <si>
    <t>ORD011</t>
  </si>
  <si>
    <t>16-03-2026</t>
  </si>
  <si>
    <t>ORD012</t>
  </si>
  <si>
    <t>17-03-2026</t>
  </si>
  <si>
    <t>ORD013</t>
  </si>
  <si>
    <t>18-03-2026</t>
  </si>
  <si>
    <t>Cash</t>
  </si>
  <si>
    <t>ORD014</t>
  </si>
  <si>
    <t>20-03-2026</t>
  </si>
  <si>
    <t>ORD015</t>
  </si>
  <si>
    <t>21-03-2026</t>
  </si>
  <si>
    <t>ORD016</t>
  </si>
  <si>
    <t>22-03-2026</t>
  </si>
  <si>
    <t>ORD017</t>
  </si>
  <si>
    <t>23-03-2026</t>
  </si>
  <si>
    <t>ORD018</t>
  </si>
  <si>
    <t>24-03-2026</t>
  </si>
  <si>
    <t>ORD019</t>
  </si>
  <si>
    <t>26-03-2026</t>
  </si>
  <si>
    <t>ORD020</t>
  </si>
  <si>
    <t>27-03-2026</t>
  </si>
  <si>
    <t>ORD021</t>
  </si>
  <si>
    <t>29-03-2026</t>
  </si>
  <si>
    <t>ORD022</t>
  </si>
  <si>
    <t>30-03-2026</t>
  </si>
  <si>
    <t>ORD023</t>
  </si>
  <si>
    <t>31-03-2026</t>
  </si>
  <si>
    <t>ORD024</t>
  </si>
  <si>
    <t>01-04-2026</t>
  </si>
  <si>
    <t>ORD025</t>
  </si>
  <si>
    <t>02-04-2026</t>
  </si>
  <si>
    <t>ORD026</t>
  </si>
  <si>
    <t>03-04-2026</t>
  </si>
  <si>
    <t>ORD027</t>
  </si>
  <si>
    <t>04-04-2026</t>
  </si>
  <si>
    <t>ORD028</t>
  </si>
  <si>
    <t>05-04-2026</t>
  </si>
  <si>
    <t>ORD029</t>
  </si>
  <si>
    <t>06-04-2026</t>
  </si>
  <si>
    <t>ORD030</t>
  </si>
  <si>
    <t>07-04-2026</t>
  </si>
  <si>
    <t>ORD031</t>
  </si>
  <si>
    <t>08-04-2026</t>
  </si>
  <si>
    <t>ORD032</t>
  </si>
  <si>
    <t>09-04-2026</t>
  </si>
  <si>
    <t>ORD033</t>
  </si>
  <si>
    <t>10-04-2026</t>
  </si>
  <si>
    <t>ORD034</t>
  </si>
  <si>
    <t>11-04-2026</t>
  </si>
  <si>
    <t>ORD035</t>
  </si>
  <si>
    <t>12-04-2026</t>
  </si>
  <si>
    <t>ORD036</t>
  </si>
  <si>
    <t>13-04-2026</t>
  </si>
  <si>
    <t>ORD037</t>
  </si>
  <si>
    <t>14-04-2026</t>
  </si>
  <si>
    <t>ORD038</t>
  </si>
  <si>
    <t>15-04-2026</t>
  </si>
  <si>
    <t>ORD039</t>
  </si>
  <si>
    <t>16-04-2026</t>
  </si>
  <si>
    <t>ORD040</t>
  </si>
  <si>
    <t>17-04-2026</t>
  </si>
  <si>
    <t>ORD041</t>
  </si>
  <si>
    <t>18-04-2026</t>
  </si>
  <si>
    <t>ORD042</t>
  </si>
  <si>
    <t>19-04-2026</t>
  </si>
  <si>
    <t>ORD043</t>
  </si>
  <si>
    <t>20-04-2026</t>
  </si>
  <si>
    <t>ORD044</t>
  </si>
  <si>
    <t>21-04-2026</t>
  </si>
  <si>
    <t>ORD045</t>
  </si>
  <si>
    <t>22-04-2026</t>
  </si>
  <si>
    <t>ORD046</t>
  </si>
  <si>
    <t>23-04-2026</t>
  </si>
  <si>
    <t>ORD047</t>
  </si>
  <si>
    <t>24-04-2026</t>
  </si>
  <si>
    <t>ORD048</t>
  </si>
  <si>
    <t>25-04-2026</t>
  </si>
  <si>
    <t>ORD049</t>
  </si>
  <si>
    <t>ORD050</t>
  </si>
  <si>
    <t>26-04-2026</t>
  </si>
  <si>
    <t>ORD051</t>
  </si>
  <si>
    <t>ORD052</t>
  </si>
  <si>
    <t>27-04-2026</t>
  </si>
  <si>
    <t>ORD053</t>
  </si>
  <si>
    <t>ORD054</t>
  </si>
  <si>
    <t>28-04-2026</t>
  </si>
  <si>
    <t>ORD055</t>
  </si>
  <si>
    <t>29-04-2026</t>
  </si>
  <si>
    <t>ORD056</t>
  </si>
  <si>
    <t>30-04-2026</t>
  </si>
  <si>
    <t>ORD057</t>
  </si>
  <si>
    <t>01-05-2026</t>
  </si>
  <si>
    <t>ORD058</t>
  </si>
  <si>
    <t>ORD059</t>
  </si>
  <si>
    <t>02-05-2026</t>
  </si>
  <si>
    <t>ORD060</t>
  </si>
  <si>
    <t>03-05-2026</t>
  </si>
  <si>
    <t>ORD061</t>
  </si>
  <si>
    <t>04-05-2026</t>
  </si>
  <si>
    <t>ORD062</t>
  </si>
  <si>
    <t>ORD063</t>
  </si>
  <si>
    <t>05-05-2026</t>
  </si>
  <si>
    <t>ORD064</t>
  </si>
  <si>
    <t>06-05-2026</t>
  </si>
  <si>
    <t>ORD065</t>
  </si>
  <si>
    <t>07-05-2026</t>
  </si>
  <si>
    <t>ORD066</t>
  </si>
  <si>
    <t>ORD067</t>
  </si>
  <si>
    <t>08-05-2026</t>
  </si>
  <si>
    <t>ORD068</t>
  </si>
  <si>
    <t>09-05-2026</t>
  </si>
  <si>
    <t>ORD069</t>
  </si>
  <si>
    <t>ORD070</t>
  </si>
  <si>
    <t>10-05-2026</t>
  </si>
  <si>
    <t>ORD071</t>
  </si>
  <si>
    <t>ORD072</t>
  </si>
  <si>
    <t>11-05-2026</t>
  </si>
  <si>
    <t>ORD073</t>
  </si>
  <si>
    <t>ORD074</t>
  </si>
  <si>
    <t>12-05-2026</t>
  </si>
  <si>
    <t>ORD075</t>
  </si>
  <si>
    <t>ORD076</t>
  </si>
  <si>
    <t>13-05-2026</t>
  </si>
  <si>
    <t>ORD077</t>
  </si>
  <si>
    <t>ORD078</t>
  </si>
  <si>
    <t>14-05-2026</t>
  </si>
  <si>
    <t>ORD079</t>
  </si>
  <si>
    <t>ORD080</t>
  </si>
  <si>
    <t>15-05-2026</t>
  </si>
  <si>
    <t>ORD081</t>
  </si>
  <si>
    <t>ORD082</t>
  </si>
  <si>
    <t>16-05-2026</t>
  </si>
  <si>
    <t>ORD083</t>
  </si>
  <si>
    <t>ORD084</t>
  </si>
  <si>
    <t>17-05-2026</t>
  </si>
  <si>
    <t>ORD085</t>
  </si>
  <si>
    <t>ORD086</t>
  </si>
  <si>
    <t>18-05-2026</t>
  </si>
  <si>
    <t>ORD087</t>
  </si>
  <si>
    <t>ORD088</t>
  </si>
  <si>
    <t>19-05-2026</t>
  </si>
  <si>
    <t>ORD089</t>
  </si>
  <si>
    <t>ORD090</t>
  </si>
  <si>
    <t>20-05-2026</t>
  </si>
  <si>
    <t>ORD091</t>
  </si>
  <si>
    <t>ORD092</t>
  </si>
  <si>
    <t>21-05-2026</t>
  </si>
  <si>
    <t>ORD093</t>
  </si>
  <si>
    <t>22-05-2026</t>
  </si>
  <si>
    <t>ORD094</t>
  </si>
  <si>
    <t>23-05-2026</t>
  </si>
  <si>
    <t>ORD095</t>
  </si>
  <si>
    <t>24-05-2026</t>
  </si>
  <si>
    <t>ORD096</t>
  </si>
  <si>
    <t>25-05-2026</t>
  </si>
  <si>
    <t>ORD097</t>
  </si>
  <si>
    <t>26-05-2026</t>
  </si>
  <si>
    <t>Silver-Plated Anti-Tarnish Anxiety Spinning Ring Inlaid With Cubic Zirconia Stones</t>
  </si>
  <si>
    <t>ORD098</t>
  </si>
  <si>
    <t>27-05-2026</t>
  </si>
  <si>
    <t>ORD099</t>
  </si>
  <si>
    <t>28-05-2026</t>
  </si>
  <si>
    <t>ORD100</t>
  </si>
  <si>
    <t>29-05-2026</t>
  </si>
  <si>
    <t>Qty</t>
  </si>
  <si>
    <t>Line Total (₹)</t>
  </si>
  <si>
    <t>Month</t>
  </si>
  <si>
    <t>Total Qty</t>
  </si>
  <si>
    <t>Order Frequency Stats</t>
  </si>
  <si>
    <t>COUNT Mar Orders</t>
  </si>
  <si>
    <t>COUNT Apr Orders</t>
  </si>
  <si>
    <t>Grand Total</t>
  </si>
  <si>
    <t>COUNT May Orders</t>
  </si>
  <si>
    <t>COUNT Total Line Items</t>
  </si>
  <si>
    <t>Row Labels</t>
  </si>
  <si>
    <t>AVG Line Total (₹)</t>
  </si>
  <si>
    <t>Mar</t>
  </si>
  <si>
    <t>MAX Line Total (₹)</t>
  </si>
  <si>
    <t>Apr</t>
  </si>
  <si>
    <t>MIN Line Total (₹)</t>
  </si>
  <si>
    <t>May</t>
  </si>
  <si>
    <t>Total Sales</t>
  </si>
  <si>
    <t>Sum of Qty</t>
  </si>
  <si>
    <t>Distinct Count of Order No.</t>
  </si>
  <si>
    <t>Hold ID</t>
  </si>
  <si>
    <t>Linked Order No.</t>
  </si>
  <si>
    <t>Hold Start Date</t>
  </si>
  <si>
    <t>Hold Duration (hrs)</t>
  </si>
  <si>
    <t>Value Held (₹)</t>
  </si>
  <si>
    <t>Bargained?</t>
  </si>
  <si>
    <t>Discount Requested (%)</t>
  </si>
  <si>
    <t>Outcome</t>
  </si>
  <si>
    <t>H001</t>
  </si>
  <si>
    <t>04-03-2026 11:48</t>
  </si>
  <si>
    <t>Converted (Paid)</t>
  </si>
  <si>
    <t>H002</t>
  </si>
  <si>
    <t>04-03-2026 23:48</t>
  </si>
  <si>
    <t>H003</t>
  </si>
  <si>
    <t>Not Converted</t>
  </si>
  <si>
    <t>16-03-2026 00:00</t>
  </si>
  <si>
    <t>Lost (No Payment / Ghosted)</t>
  </si>
  <si>
    <t>H004</t>
  </si>
  <si>
    <t>16-03-2026 21:06</t>
  </si>
  <si>
    <t>H005</t>
  </si>
  <si>
    <t>19-03-2026 19:00</t>
  </si>
  <si>
    <t>H006</t>
  </si>
  <si>
    <t>20-03-2026 18:24</t>
  </si>
  <si>
    <t>H007</t>
  </si>
  <si>
    <t>22-03-2026 00:00</t>
  </si>
  <si>
    <t>H008</t>
  </si>
  <si>
    <t>22-03-2026 13:42</t>
  </si>
  <si>
    <t>H009</t>
  </si>
  <si>
    <t>02-04-2026 19:30</t>
  </si>
  <si>
    <t>H010</t>
  </si>
  <si>
    <t>03-04-2026 00:30</t>
  </si>
  <si>
    <t>H011</t>
  </si>
  <si>
    <t>04-04-2026 22:18</t>
  </si>
  <si>
    <t>H012</t>
  </si>
  <si>
    <t>06-04-2026 21:12</t>
  </si>
  <si>
    <t>H013</t>
  </si>
  <si>
    <t>08-04-2026 22:06</t>
  </si>
  <si>
    <t>H014</t>
  </si>
  <si>
    <t>12-04-2026 21:42</t>
  </si>
  <si>
    <t>H015</t>
  </si>
  <si>
    <t>17-04-2026 00:00</t>
  </si>
  <si>
    <t>H016</t>
  </si>
  <si>
    <t>27-04-2026 04:06</t>
  </si>
  <si>
    <t>H017</t>
  </si>
  <si>
    <t>28-04-2026 00:00</t>
  </si>
  <si>
    <t>H018</t>
  </si>
  <si>
    <t>28-04-2026 22:48</t>
  </si>
  <si>
    <t>H019</t>
  </si>
  <si>
    <t>30-04-2026 18:24</t>
  </si>
  <si>
    <t>H020</t>
  </si>
  <si>
    <t>02-05-2026 00:00</t>
  </si>
  <si>
    <t>H021</t>
  </si>
  <si>
    <t>06-05-2026 20:30</t>
  </si>
  <si>
    <t>H022</t>
  </si>
  <si>
    <t>09-05-2026 06:54</t>
  </si>
  <si>
    <t>H023</t>
  </si>
  <si>
    <t>10-05-2026 19:18</t>
  </si>
  <si>
    <t>H024</t>
  </si>
  <si>
    <t>12-05-2026 21:54</t>
  </si>
  <si>
    <t>H025</t>
  </si>
  <si>
    <t>13-05-2026 22:30</t>
  </si>
  <si>
    <t>H026</t>
  </si>
  <si>
    <t>15-05-2026 22:12</t>
  </si>
  <si>
    <t>H027</t>
  </si>
  <si>
    <t>16-05-2026 00:00</t>
  </si>
  <si>
    <t>H028</t>
  </si>
  <si>
    <t>16-05-2026 21:06</t>
  </si>
  <si>
    <t>H029</t>
  </si>
  <si>
    <t>17-05-2026 18:06</t>
  </si>
  <si>
    <t>H030</t>
  </si>
  <si>
    <t>18-05-2026 08:18</t>
  </si>
  <si>
    <t>H031</t>
  </si>
  <si>
    <t>18-05-2026 19:24</t>
  </si>
  <si>
    <t>H032</t>
  </si>
  <si>
    <t>22-05-2026 20:42</t>
  </si>
  <si>
    <t>H033</t>
  </si>
  <si>
    <t>23-05-2026 02:30</t>
  </si>
  <si>
    <t>H034</t>
  </si>
  <si>
    <t>24-05-2026 00:00</t>
  </si>
  <si>
    <t>H035</t>
  </si>
  <si>
    <t>24-05-2026 22:30</t>
  </si>
  <si>
    <t>H036</t>
  </si>
  <si>
    <t>26-05-2026 22:12</t>
  </si>
  <si>
    <t>Hold Tracker – Summary Statistics</t>
  </si>
  <si>
    <t>Total Hold Incidents (Mar-May 2026)</t>
  </si>
  <si>
    <t>Converted (Paid after Hold)</t>
  </si>
  <si>
    <t>Lost / Ghosted (No Payment)</t>
  </si>
  <si>
    <t>Ghost Rate (%)</t>
  </si>
  <si>
    <t>Total Value Held (₹)</t>
  </si>
  <si>
    <t>Total Value Lost to Ghosting (₹)</t>
  </si>
  <si>
    <t>Avg Hold Duration – Converted (hrs)</t>
  </si>
  <si>
    <t>Avg Hold Duration – Ghosted (hrs)</t>
  </si>
  <si>
    <t>Orders Involving Bargaining (%)</t>
  </si>
  <si>
    <t>Avg Discount Requested when Bargained (%)</t>
  </si>
  <si>
    <t>Hold Duration Statistics</t>
  </si>
  <si>
    <t>Mean</t>
  </si>
  <si>
    <t>Converted</t>
  </si>
  <si>
    <t>Ghosted</t>
  </si>
  <si>
    <t>Median</t>
  </si>
  <si>
    <t>Standard Deviation</t>
  </si>
  <si>
    <t>Minimum</t>
  </si>
  <si>
    <t>Maximum</t>
  </si>
  <si>
    <t>Range</t>
  </si>
  <si>
    <t>Coefficient of Variation</t>
  </si>
  <si>
    <t>Value Held Analysis</t>
  </si>
  <si>
    <t>Total Value Held</t>
  </si>
  <si>
    <t>Total Value Held by Category--Earrings</t>
  </si>
  <si>
    <t>Total Value Held by Category--Bracelets</t>
  </si>
  <si>
    <t>Total Value Held by Category--Rings</t>
  </si>
  <si>
    <t>Total Value Held by Category--Neckpieces</t>
  </si>
  <si>
    <t>Total Value Held by Month--March</t>
  </si>
  <si>
    <t>Total Value Held by Month--April</t>
  </si>
  <si>
    <t>Total Value Held by Month--May</t>
  </si>
  <si>
    <t>Average Value Held</t>
  </si>
  <si>
    <t>Ghost Rate / Conversion Rate</t>
  </si>
  <si>
    <t>Total Holds</t>
  </si>
  <si>
    <t>Ghost Rate</t>
  </si>
  <si>
    <t>Conversion Rate</t>
  </si>
  <si>
    <t>Ghost Rate by Category--Earrings</t>
  </si>
  <si>
    <t>Ghost Rate by Category--Bracelets</t>
  </si>
  <si>
    <t>Ghost Rate by Category--Rings</t>
  </si>
  <si>
    <t>Ghost Rate by Category--Neckpieces</t>
  </si>
  <si>
    <t>Ghost Rate by Month--March</t>
  </si>
  <si>
    <t>Ghost Rate by Month--April</t>
  </si>
  <si>
    <t>Ghost Rate by Month--May</t>
  </si>
  <si>
    <t>Revenue Lost</t>
  </si>
  <si>
    <t>Total Revenue Lost</t>
  </si>
  <si>
    <t>Stock-hours Blocked</t>
  </si>
  <si>
    <t>Converted stock-hours</t>
  </si>
  <si>
    <t>Ghosted stock-hours</t>
  </si>
  <si>
    <t>Bargaining Impact</t>
  </si>
  <si>
    <t>Bargain Rate</t>
  </si>
  <si>
    <t>Average Discount</t>
  </si>
  <si>
    <t>Value of Bargained Converted Orders</t>
  </si>
  <si>
    <t>Estimated Revenue Reduction</t>
  </si>
  <si>
    <t>Policy Simulation</t>
  </si>
  <si>
    <t>Ghosted orders exceeding 24 hours</t>
  </si>
  <si>
    <t>Value released under 24-hour rule</t>
  </si>
  <si>
    <t>Ghosted orders exceeding 48 hours</t>
  </si>
  <si>
    <t>Value released under 48-hour rule</t>
  </si>
  <si>
    <t>Bucket</t>
  </si>
  <si>
    <t>0–6 hrs</t>
  </si>
  <si>
    <t>6–24 hrs</t>
  </si>
  <si>
    <t>24–48 hrs</t>
  </si>
  <si>
    <t>48+ hrs</t>
  </si>
  <si>
    <t>Value</t>
  </si>
  <si>
    <t>Count</t>
  </si>
  <si>
    <t>Metric</t>
  </si>
  <si>
    <t>Amount</t>
  </si>
  <si>
    <t>Bargained Converted Orders</t>
  </si>
  <si>
    <t>Policy</t>
  </si>
  <si>
    <t>Orders</t>
  </si>
  <si>
    <t>Ghosted &gt;24 hrs</t>
  </si>
  <si>
    <t>Ghosted &gt;48 hrs</t>
  </si>
  <si>
    <t>Value Released</t>
  </si>
  <si>
    <t>24-hour Rule</t>
  </si>
  <si>
    <t>48-hour Rule</t>
  </si>
  <si>
    <t>Stock-hours</t>
  </si>
  <si>
    <t>Ghost Orders Flagged</t>
  </si>
  <si>
    <t>Std</t>
  </si>
  <si>
    <t>Ageing_Risk</t>
  </si>
  <si>
    <t>Low Risk</t>
  </si>
  <si>
    <t>Medium Risk</t>
  </si>
  <si>
    <t>High Risk (Slow Mover)</t>
  </si>
  <si>
    <t>CV %</t>
  </si>
  <si>
    <t>Sales Velocity (units/week)</t>
  </si>
  <si>
    <t>Apr_Growth_%</t>
  </si>
  <si>
    <t>May_Growth_%</t>
  </si>
  <si>
    <t>Revenue</t>
  </si>
  <si>
    <t>Items</t>
  </si>
  <si>
    <t>Avg Order Value</t>
  </si>
  <si>
    <t>One</t>
  </si>
  <si>
    <t>Two</t>
  </si>
  <si>
    <t>Three</t>
  </si>
  <si>
    <t>Bargain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</si>
</sst>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16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b/>
      <sz val="10"/>
      <color rgb="FF1C1C1C"/>
      <name val="Arial"/>
      <charset val="1"/>
    </font>
    <font>
      <sz val="10"/>
      <color rgb="FF1C1C1C"/>
      <name val="Arial"/>
      <charset val="1"/>
    </font>
    <font>
      <b/>
      <sz val="11"/>
      <color rgb="FFFFFFFF"/>
      <name val="Arial"/>
      <family val="2"/>
    </font>
    <font>
      <sz val="10"/>
      <color rgb="FF1C1C1C"/>
      <name val="Arial"/>
      <family val="2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9A84C"/>
        <bgColor rgb="FFD4B85A"/>
      </patternFill>
    </fill>
    <fill>
      <patternFill patternType="solid">
        <fgColor rgb="FFFFF8E7"/>
        <bgColor rgb="FFFFFFFF"/>
      </patternFill>
    </fill>
    <fill>
      <patternFill patternType="solid">
        <fgColor rgb="FFFFFFFF"/>
        <bgColor rgb="FFFFF8E7"/>
      </patternFill>
    </fill>
    <fill>
      <patternFill patternType="solid">
        <fgColor theme="0"/>
        <bgColor rgb="FFFFFFFF"/>
      </patternFill>
    </fill>
    <fill>
      <patternFill patternType="solid">
        <fgColor rgb="FF4472C4"/>
        <bgColor rgb="FF4C7DB7"/>
      </patternFill>
    </fill>
    <fill>
      <patternFill patternType="solid">
        <fgColor rgb="FF4472C4"/>
        <bgColor rgb="FF4472C4"/>
      </patternFill>
    </fill>
  </fills>
  <borders count="15">
    <border>
      <left/>
      <right/>
      <top/>
      <bottom/>
      <diagonal/>
    </border>
    <border>
      <left style="thin">
        <color rgb="FFD4B85A"/>
      </left>
      <right style="thin">
        <color rgb="FFD4B85A"/>
      </right>
      <top style="thin">
        <color rgb="FFD4B85A"/>
      </top>
      <bottom style="thin">
        <color rgb="FFD4B85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">
    <xf numFmtId="0" fontId="0" fillId="0" borderId="0"/>
    <xf numFmtId="9" fontId="13" fillId="0" borderId="0" applyFont="0" applyFill="0" applyBorder="0" applyAlignment="0" applyProtection="0"/>
    <xf numFmtId="0" fontId="2" fillId="0" borderId="0"/>
    <xf numFmtId="0" fontId="1" fillId="0" borderId="0"/>
  </cellStyleXfs>
  <cellXfs count="5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164" fontId="5" fillId="3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5" fillId="5" borderId="1" xfId="0" applyNumberFormat="1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/>
    </xf>
    <xf numFmtId="0" fontId="9" fillId="0" borderId="2" xfId="0" applyFont="1" applyBorder="1" applyAlignment="1">
      <alignment horizontal="right"/>
    </xf>
    <xf numFmtId="0" fontId="9" fillId="0" borderId="2" xfId="0" applyFont="1" applyBorder="1" applyAlignment="1">
      <alignment horizontal="left"/>
    </xf>
    <xf numFmtId="4" fontId="9" fillId="0" borderId="2" xfId="0" applyNumberFormat="1" applyFont="1" applyBorder="1" applyAlignment="1">
      <alignment horizontal="right"/>
    </xf>
    <xf numFmtId="0" fontId="10" fillId="7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0" fillId="0" borderId="4" xfId="0" applyBorder="1" applyAlignment="1">
      <alignment horizontal="center"/>
    </xf>
    <xf numFmtId="0" fontId="0" fillId="0" borderId="0" xfId="0" applyAlignment="1">
      <alignment vertical="center"/>
    </xf>
    <xf numFmtId="9" fontId="0" fillId="0" borderId="0" xfId="1" applyFont="1"/>
    <xf numFmtId="0" fontId="0" fillId="0" borderId="4" xfId="0" applyBorder="1" applyAlignment="1">
      <alignment horizontal="left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0" fontId="2" fillId="0" borderId="0" xfId="2"/>
    <xf numFmtId="0" fontId="12" fillId="0" borderId="5" xfId="2" applyFont="1" applyBorder="1" applyAlignment="1">
      <alignment horizontal="center" vertical="top"/>
    </xf>
    <xf numFmtId="0" fontId="1" fillId="0" borderId="0" xfId="3"/>
    <xf numFmtId="0" fontId="12" fillId="0" borderId="5" xfId="3" applyFont="1" applyBorder="1" applyAlignment="1">
      <alignment horizontal="center" vertical="top"/>
    </xf>
    <xf numFmtId="0" fontId="15" fillId="0" borderId="0" xfId="3" applyFont="1"/>
    <xf numFmtId="0" fontId="15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0" borderId="0" xfId="0"/>
  </cellXfs>
  <cellStyles count="4">
    <cellStyle name="Normal" xfId="0" builtinId="0"/>
    <cellStyle name="Normal 2" xfId="2" xr:uid="{D2621107-4D10-4B06-BFE2-3AF31BBD377A}"/>
    <cellStyle name="Normal 3" xfId="3" xr:uid="{AFD01272-475A-4CFE-8212-479B413D0148}"/>
    <cellStyle name="Percent" xfId="1" builtinId="5"/>
  </cellStyles>
  <dxfs count="27">
    <dxf>
      <fill>
        <patternFill>
          <bgColor theme="0"/>
        </patternFill>
      </fill>
    </dxf>
    <dxf>
      <fill>
        <patternFill>
          <bgColor rgb="FFFFF8E7"/>
        </patternFill>
      </fill>
    </dxf>
    <dxf>
      <fill>
        <patternFill>
          <bgColor theme="0"/>
        </patternFill>
      </fill>
    </dxf>
    <dxf>
      <fill>
        <patternFill>
          <bgColor rgb="FFFFF8E7"/>
        </patternFill>
      </fill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4B85A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003366"/>
      <rgbColor rgb="FF339966"/>
      <rgbColor rgb="FF003300"/>
      <rgbColor rgb="FF333300"/>
      <rgbColor rgb="FF993300"/>
      <rgbColor rgb="FF993366"/>
      <rgbColor rgb="FF333399"/>
      <rgbColor rgb="FF1C1C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76853"/>
      <color rgb="FF67513D"/>
      <color rgb="FFCFC3B5"/>
      <color rgb="FF553825"/>
      <color rgb="FFA59789"/>
      <color rgb="FF937A63"/>
      <color rgb="FFA18E7B"/>
      <color rgb="FF5D4D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[Jewelry_Orders.xlsx]Daily Sales!PivotTable3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Sales'!$L$1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Sales'!$K$2:$K$6</c:f>
              <c:strCache>
                <c:ptCount val="4"/>
                <c:pt idx="0">
                  <c:v>Bracelets</c:v>
                </c:pt>
                <c:pt idx="1">
                  <c:v>Earrings</c:v>
                </c:pt>
                <c:pt idx="2">
                  <c:v>Neckpieces</c:v>
                </c:pt>
                <c:pt idx="3">
                  <c:v>Rings</c:v>
                </c:pt>
              </c:strCache>
            </c:strRef>
          </c:cat>
          <c:val>
            <c:numRef>
              <c:f>'Daily Sales'!$L$2:$L$6</c:f>
              <c:numCache>
                <c:formatCode>General</c:formatCode>
                <c:ptCount val="4"/>
                <c:pt idx="0">
                  <c:v>68</c:v>
                </c:pt>
                <c:pt idx="1">
                  <c:v>102</c:v>
                </c:pt>
                <c:pt idx="2">
                  <c:v>20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4-4CE1-9726-5FCBAFE045E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21502896"/>
        <c:axId val="1521503856"/>
      </c:barChart>
      <c:catAx>
        <c:axId val="152150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503856"/>
        <c:crosses val="autoZero"/>
        <c:auto val="1"/>
        <c:lblAlgn val="ctr"/>
        <c:lblOffset val="100"/>
        <c:noMultiLvlLbl val="0"/>
      </c:catAx>
      <c:valAx>
        <c:axId val="152150385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2150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[Jewelry_Orders.xlsx]Daily Sales!PivotTable5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Revenue Share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ln>
            <a:prstDash val="solid"/>
          </a:ln>
        </c:spPr>
        <c:marker>
          <c:symbol val="none"/>
        </c:marker>
        <c:dLbl>
          <c:idx val="0"/>
          <c:spPr>
            <a:pattFill prst="pct75">
              <a:fgClr>
                <a:srgbClr val="000000"/>
              </a:fgClr>
              <a:bgClr>
                <a:srgbClr val="000000"/>
              </a:bgClr>
            </a:pattFill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</c:pivotFmt>
      <c:pivotFmt>
        <c:idx val="2"/>
        <c:spPr>
          <a:solidFill>
            <a:schemeClr val="accent2"/>
          </a:solidFill>
          <a:ln>
            <a:noFill/>
            <a:prstDash val="solid"/>
          </a:ln>
        </c:spPr>
      </c:pivotFmt>
      <c:pivotFmt>
        <c:idx val="3"/>
        <c:spPr>
          <a:solidFill>
            <a:schemeClr val="accent3"/>
          </a:solidFill>
          <a:ln>
            <a:noFill/>
            <a:prstDash val="solid"/>
          </a:ln>
        </c:spPr>
      </c:pivotFmt>
      <c:pivotFmt>
        <c:idx val="4"/>
        <c:spPr>
          <a:solidFill>
            <a:schemeClr val="accent4"/>
          </a:solidFill>
          <a:ln>
            <a:noFill/>
            <a:prstDash val="solid"/>
          </a:ln>
        </c:spPr>
      </c:pivotFmt>
    </c:pivotFmts>
    <c:plotArea>
      <c:layout/>
      <c:pieChart>
        <c:varyColors val="1"/>
        <c:ser>
          <c:idx val="0"/>
          <c:order val="0"/>
          <c:tx>
            <c:strRef>
              <c:f>'Daily Sales'!$L$14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B61-4F10-BB30-C519F9C8DA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B61-4F10-BB30-C519F9C8DA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B61-4F10-BB30-C519F9C8DA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B61-4F10-BB30-C519F9C8DA5A}"/>
              </c:ext>
            </c:extLst>
          </c:dPt>
          <c:dLbls>
            <c:spPr>
              <a:pattFill prst="pct75">
                <a:fgClr>
                  <a:srgbClr val="000000"/>
                </a:fgClr>
                <a:bgClr>
                  <a:srgbClr val="000000"/>
                </a:bgClr>
              </a:patt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'Daily Sales'!$K$15:$K$19</c:f>
              <c:strCache>
                <c:ptCount val="4"/>
                <c:pt idx="0">
                  <c:v>Bracelets</c:v>
                </c:pt>
                <c:pt idx="1">
                  <c:v>Earrings</c:v>
                </c:pt>
                <c:pt idx="2">
                  <c:v>Neckpieces</c:v>
                </c:pt>
                <c:pt idx="3">
                  <c:v>Rings</c:v>
                </c:pt>
              </c:strCache>
            </c:strRef>
          </c:cat>
          <c:val>
            <c:numRef>
              <c:f>'Daily Sales'!$L$15:$L$19</c:f>
              <c:numCache>
                <c:formatCode>\₹#,##0</c:formatCode>
                <c:ptCount val="4"/>
                <c:pt idx="0">
                  <c:v>21850</c:v>
                </c:pt>
                <c:pt idx="1">
                  <c:v>20343</c:v>
                </c:pt>
                <c:pt idx="2">
                  <c:v>4214</c:v>
                </c:pt>
                <c:pt idx="3">
                  <c:v>7793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61-4F10-BB30-C519F9C8DA5A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[Jewelry_Orders.xlsx]Daily 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3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Sales'!$L$8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Pt>
            <c:idx val="0"/>
            <c:marker>
              <c:symbol val="circle"/>
              <c:size val="17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6F-410D-8C43-9DA2A8AB4DC8}"/>
              </c:ext>
            </c:extLst>
          </c:dPt>
          <c:dPt>
            <c:idx val="1"/>
            <c:marker>
              <c:symbol val="circle"/>
              <c:size val="17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6F-410D-8C43-9DA2A8AB4DC8}"/>
              </c:ext>
            </c:extLst>
          </c:dPt>
          <c:dPt>
            <c:idx val="2"/>
            <c:marker>
              <c:symbol val="circle"/>
              <c:size val="17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76F-410D-8C43-9DA2A8AB4D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Sales'!$K$9:$K$12</c:f>
              <c:strCache>
                <c:ptCount val="3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</c:strCache>
            </c:strRef>
          </c:cat>
          <c:val>
            <c:numRef>
              <c:f>'Daily Sales'!$L$9:$L$12</c:f>
              <c:numCache>
                <c:formatCode>\₹#,##0</c:formatCode>
                <c:ptCount val="3"/>
                <c:pt idx="0">
                  <c:v>11106</c:v>
                </c:pt>
                <c:pt idx="1">
                  <c:v>16812</c:v>
                </c:pt>
                <c:pt idx="2">
                  <c:v>26282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6F-410D-8C43-9DA2A8AB4DC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8013663"/>
        <c:axId val="28017503"/>
      </c:lineChart>
      <c:catAx>
        <c:axId val="2801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17503"/>
        <c:crosses val="autoZero"/>
        <c:auto val="1"/>
        <c:lblAlgn val="ctr"/>
        <c:lblOffset val="100"/>
        <c:noMultiLvlLbl val="0"/>
      </c:catAx>
      <c:valAx>
        <c:axId val="2801750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crossAx val="2801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and Sell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Sales'!$X$16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'Daily Sales'!$W$17:$W$20</c:f>
              <c:strCache>
                <c:ptCount val="4"/>
                <c:pt idx="0">
                  <c:v>Rings</c:v>
                </c:pt>
                <c:pt idx="1">
                  <c:v>Neckpieces</c:v>
                </c:pt>
                <c:pt idx="2">
                  <c:v>Bracelets</c:v>
                </c:pt>
                <c:pt idx="3">
                  <c:v>Earrings</c:v>
                </c:pt>
              </c:strCache>
            </c:strRef>
          </c:cat>
          <c:val>
            <c:numRef>
              <c:f>'Daily Sales'!$X$17:$X$20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15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C-4E78-B955-88E5AEEAD41B}"/>
            </c:ext>
          </c:extLst>
        </c:ser>
        <c:ser>
          <c:idx val="1"/>
          <c:order val="1"/>
          <c:tx>
            <c:strRef>
              <c:f>'Daily Sales'!$Y$16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'Daily Sales'!$W$17:$W$20</c:f>
              <c:strCache>
                <c:ptCount val="4"/>
                <c:pt idx="0">
                  <c:v>Rings</c:v>
                </c:pt>
                <c:pt idx="1">
                  <c:v>Neckpieces</c:v>
                </c:pt>
                <c:pt idx="2">
                  <c:v>Bracelets</c:v>
                </c:pt>
                <c:pt idx="3">
                  <c:v>Earrings</c:v>
                </c:pt>
              </c:strCache>
            </c:strRef>
          </c:cat>
          <c:val>
            <c:numRef>
              <c:f>'Daily Sales'!$Y$17:$Y$20</c:f>
              <c:numCache>
                <c:formatCode>General</c:formatCode>
                <c:ptCount val="4"/>
                <c:pt idx="0">
                  <c:v>17</c:v>
                </c:pt>
                <c:pt idx="1">
                  <c:v>7</c:v>
                </c:pt>
                <c:pt idx="2">
                  <c:v>21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5C-4E78-B955-88E5AEEAD41B}"/>
            </c:ext>
          </c:extLst>
        </c:ser>
        <c:ser>
          <c:idx val="2"/>
          <c:order val="2"/>
          <c:tx>
            <c:strRef>
              <c:f>'Daily Sales'!$Z$16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'Daily Sales'!$W$17:$W$20</c:f>
              <c:strCache>
                <c:ptCount val="4"/>
                <c:pt idx="0">
                  <c:v>Rings</c:v>
                </c:pt>
                <c:pt idx="1">
                  <c:v>Neckpieces</c:v>
                </c:pt>
                <c:pt idx="2">
                  <c:v>Bracelets</c:v>
                </c:pt>
                <c:pt idx="3">
                  <c:v>Earrings</c:v>
                </c:pt>
              </c:strCache>
            </c:strRef>
          </c:cat>
          <c:val>
            <c:numRef>
              <c:f>'Daily Sales'!$Z$17:$Z$20</c:f>
              <c:numCache>
                <c:formatCode>General</c:formatCode>
                <c:ptCount val="4"/>
                <c:pt idx="0">
                  <c:v>20</c:v>
                </c:pt>
                <c:pt idx="1">
                  <c:v>10</c:v>
                </c:pt>
                <c:pt idx="2">
                  <c:v>32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5C-4E78-B955-88E5AEEAD41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55078623"/>
        <c:axId val="1655084383"/>
      </c:barChart>
      <c:catAx>
        <c:axId val="165507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084383"/>
        <c:crosses val="autoZero"/>
        <c:auto val="1"/>
        <c:lblAlgn val="ctr"/>
        <c:lblOffset val="100"/>
        <c:noMultiLvlLbl val="0"/>
      </c:catAx>
      <c:valAx>
        <c:axId val="165508438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5507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Demand Variability by Category (CV%)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Sales'!$AC$16</c:f>
              <c:strCache>
                <c:ptCount val="1"/>
                <c:pt idx="0">
                  <c:v>CV %</c:v>
                </c:pt>
              </c:strCache>
            </c:strRef>
          </c:tx>
          <c:spPr>
            <a:gradFill flip="none" rotWithShape="1">
              <a:gsLst>
                <a:gs pos="0">
                  <a:srgbClr val="A18E7B">
                    <a:shade val="30000"/>
                    <a:satMod val="115000"/>
                  </a:srgbClr>
                </a:gs>
                <a:gs pos="50000">
                  <a:srgbClr val="A18E7B">
                    <a:shade val="67500"/>
                    <a:satMod val="115000"/>
                  </a:srgbClr>
                </a:gs>
                <a:gs pos="100000">
                  <a:srgbClr val="A18E7B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Sales'!$W$17:$W$20</c:f>
              <c:strCache>
                <c:ptCount val="4"/>
                <c:pt idx="0">
                  <c:v>Rings</c:v>
                </c:pt>
                <c:pt idx="1">
                  <c:v>Neckpieces</c:v>
                </c:pt>
                <c:pt idx="2">
                  <c:v>Bracelets</c:v>
                </c:pt>
                <c:pt idx="3">
                  <c:v>Earrings</c:v>
                </c:pt>
              </c:strCache>
            </c:strRef>
          </c:cat>
          <c:val>
            <c:numRef>
              <c:f>'Daily Sales'!$AC$17:$AC$20</c:f>
              <c:numCache>
                <c:formatCode>General</c:formatCode>
                <c:ptCount val="4"/>
                <c:pt idx="0">
                  <c:v>74.181928930715031</c:v>
                </c:pt>
                <c:pt idx="1">
                  <c:v>52.678268764263677</c:v>
                </c:pt>
                <c:pt idx="2">
                  <c:v>38.036815165816371</c:v>
                </c:pt>
                <c:pt idx="3">
                  <c:v>33.405343210589841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5-472F-827A-4D389330A25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96745999"/>
        <c:axId val="596748399"/>
      </c:barChart>
      <c:catAx>
        <c:axId val="59674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748399"/>
        <c:crosses val="autoZero"/>
        <c:auto val="1"/>
        <c:lblAlgn val="ctr"/>
        <c:lblOffset val="100"/>
        <c:noMultiLvlLbl val="0"/>
      </c:catAx>
      <c:valAx>
        <c:axId val="59674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74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Sales'!$P$46</c:f>
              <c:strCache>
                <c:ptCount val="1"/>
                <c:pt idx="0">
                  <c:v>Sales Velocity (units/week)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'Daily Sales'!$O$47:$O$50</c:f>
              <c:strCache>
                <c:ptCount val="4"/>
                <c:pt idx="0">
                  <c:v>Earrings</c:v>
                </c:pt>
                <c:pt idx="1">
                  <c:v>Bracelets</c:v>
                </c:pt>
                <c:pt idx="2">
                  <c:v>Rings</c:v>
                </c:pt>
                <c:pt idx="3">
                  <c:v>Neckpieces</c:v>
                </c:pt>
              </c:strCache>
            </c:strRef>
          </c:cat>
          <c:val>
            <c:numRef>
              <c:f>'Daily Sales'!$P$47:$P$50</c:f>
              <c:numCache>
                <c:formatCode>General</c:formatCode>
                <c:ptCount val="4"/>
                <c:pt idx="0">
                  <c:v>7.8460000000000001</c:v>
                </c:pt>
                <c:pt idx="1">
                  <c:v>5.2309999999999999</c:v>
                </c:pt>
                <c:pt idx="2">
                  <c:v>3</c:v>
                </c:pt>
                <c:pt idx="3">
                  <c:v>1.538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9-4A4B-88A0-6722C93C8F8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96722479"/>
        <c:axId val="596717199"/>
      </c:barChart>
      <c:catAx>
        <c:axId val="59672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717199"/>
        <c:crosses val="autoZero"/>
        <c:auto val="1"/>
        <c:lblAlgn val="ctr"/>
        <c:lblOffset val="100"/>
        <c:noMultiLvlLbl val="0"/>
      </c:catAx>
      <c:valAx>
        <c:axId val="59671719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9672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Month-over-Month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Sales'!$S$60</c:f>
              <c:strCache>
                <c:ptCount val="1"/>
                <c:pt idx="0">
                  <c:v>Apr_Growth_%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'Daily Sales'!$O$61:$O$64</c:f>
              <c:strCache>
                <c:ptCount val="4"/>
                <c:pt idx="0">
                  <c:v>Bracelets</c:v>
                </c:pt>
                <c:pt idx="1">
                  <c:v>Earrings</c:v>
                </c:pt>
                <c:pt idx="2">
                  <c:v>Neckpieces</c:v>
                </c:pt>
                <c:pt idx="3">
                  <c:v>Rings</c:v>
                </c:pt>
              </c:strCache>
            </c:strRef>
          </c:cat>
          <c:val>
            <c:numRef>
              <c:f>'Daily Sales'!$S$61:$S$64</c:f>
              <c:numCache>
                <c:formatCode>General</c:formatCode>
                <c:ptCount val="4"/>
                <c:pt idx="0">
                  <c:v>31.7</c:v>
                </c:pt>
                <c:pt idx="1">
                  <c:v>4.0599999999999996</c:v>
                </c:pt>
                <c:pt idx="2">
                  <c:v>184.95</c:v>
                </c:pt>
                <c:pt idx="3">
                  <c:v>654.46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8-4E3D-A472-1B08887DA0F8}"/>
            </c:ext>
          </c:extLst>
        </c:ser>
        <c:ser>
          <c:idx val="1"/>
          <c:order val="1"/>
          <c:tx>
            <c:strRef>
              <c:f>'Daily Sales'!$T$60</c:f>
              <c:strCache>
                <c:ptCount val="1"/>
                <c:pt idx="0">
                  <c:v>May_Growth_%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'Daily Sales'!$O$61:$O$64</c:f>
              <c:strCache>
                <c:ptCount val="4"/>
                <c:pt idx="0">
                  <c:v>Bracelets</c:v>
                </c:pt>
                <c:pt idx="1">
                  <c:v>Earrings</c:v>
                </c:pt>
                <c:pt idx="2">
                  <c:v>Neckpieces</c:v>
                </c:pt>
                <c:pt idx="3">
                  <c:v>Rings</c:v>
                </c:pt>
              </c:strCache>
            </c:strRef>
          </c:cat>
          <c:val>
            <c:numRef>
              <c:f>'Daily Sales'!$T$61:$T$64</c:f>
              <c:numCache>
                <c:formatCode>General</c:formatCode>
                <c:ptCount val="4"/>
                <c:pt idx="0">
                  <c:v>53.58</c:v>
                </c:pt>
                <c:pt idx="1">
                  <c:v>87.37</c:v>
                </c:pt>
                <c:pt idx="2">
                  <c:v>46.59</c:v>
                </c:pt>
                <c:pt idx="3">
                  <c:v>17.309999999999999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48-4E3D-A472-1B08887DA0F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96733519"/>
        <c:axId val="596717679"/>
      </c:barChart>
      <c:catAx>
        <c:axId val="59673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717679"/>
        <c:crosses val="autoZero"/>
        <c:auto val="1"/>
        <c:lblAlgn val="ctr"/>
        <c:lblOffset val="100"/>
        <c:noMultiLvlLbl val="0"/>
      </c:catAx>
      <c:valAx>
        <c:axId val="59671767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9673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1">
                      <a:tint val="50000"/>
                    </a:schemeClr>
                  </a:gs>
                  <a:gs pos="35000">
                    <a:schemeClr val="accent1">
                      <a:tint val="37000"/>
                    </a:schemeClr>
                  </a:gs>
                  <a:gs pos="100000">
                    <a:schemeClr val="accent1">
                      <a:tint val="15000"/>
                    </a:schemeClr>
                  </a:gs>
                </a:gsLst>
                <a:lin ang="16200000" scaled="1"/>
                <a:tileRect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'Daily Sales'!$AH$77:$AH$205</c:f>
              <c:numCache>
                <c:formatCode>\₹#,##0</c:formatCode>
                <c:ptCount val="129"/>
              </c:numCache>
            </c:numRef>
          </c:xVal>
          <c:yVal>
            <c:numRef>
              <c:f>'Daily Sales'!$AI$77:$AI$205</c:f>
              <c:numCache>
                <c:formatCode>General</c:formatCode>
                <c:ptCount val="129"/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'Daily Sales'!#REF!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9CA-4662-94FB-09F10FE17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773839"/>
        <c:axId val="596774319"/>
      </c:scatterChart>
      <c:valAx>
        <c:axId val="59677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774319"/>
        <c:crosses val="autoZero"/>
        <c:crossBetween val="midCat"/>
      </c:valAx>
      <c:valAx>
        <c:axId val="59677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77383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ysClr val="windowText" lastClr="000000"/>
                </a:solidFill>
              </a:rPr>
              <a:t>Revenue Contribution by Product Category (Mar–May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Summary'!$K$1</c:f>
              <c:strCache>
                <c:ptCount val="1"/>
                <c:pt idx="0">
                  <c:v>Total Revenue</c:v>
                </c:pt>
              </c:strCache>
            </c:strRef>
          </c:tx>
          <c:spPr>
            <a:gradFill flip="none" rotWithShape="1">
              <a:gsLst>
                <a:gs pos="0">
                  <a:srgbClr val="A59789">
                    <a:shade val="30000"/>
                    <a:satMod val="115000"/>
                  </a:srgbClr>
                </a:gs>
                <a:gs pos="50000">
                  <a:srgbClr val="A59789">
                    <a:shade val="67500"/>
                    <a:satMod val="115000"/>
                  </a:srgbClr>
                </a:gs>
                <a:gs pos="100000">
                  <a:srgbClr val="A5978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'Product Summary'!$J$2:$J$5</c:f>
              <c:strCache>
                <c:ptCount val="4"/>
                <c:pt idx="0">
                  <c:v>Bracelets</c:v>
                </c:pt>
                <c:pt idx="1">
                  <c:v>Earrings</c:v>
                </c:pt>
                <c:pt idx="2">
                  <c:v>Rings</c:v>
                </c:pt>
                <c:pt idx="3">
                  <c:v>Neckpieces</c:v>
                </c:pt>
              </c:strCache>
            </c:strRef>
          </c:cat>
          <c:val>
            <c:numRef>
              <c:f>'Product Summary'!$K$2:$K$5</c:f>
              <c:numCache>
                <c:formatCode>General</c:formatCode>
                <c:ptCount val="4"/>
                <c:pt idx="0">
                  <c:v>21850</c:v>
                </c:pt>
                <c:pt idx="1">
                  <c:v>20343</c:v>
                </c:pt>
                <c:pt idx="2">
                  <c:v>7793</c:v>
                </c:pt>
                <c:pt idx="3">
                  <c:v>4214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4-40DC-99D3-64BBDAFE9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1519696"/>
        <c:axId val="1521522576"/>
      </c:barChart>
      <c:lineChart>
        <c:grouping val="standard"/>
        <c:varyColors val="0"/>
        <c:ser>
          <c:idx val="1"/>
          <c:order val="1"/>
          <c:tx>
            <c:strRef>
              <c:f>'Product Summary'!$L$1</c:f>
              <c:strCache>
                <c:ptCount val="1"/>
                <c:pt idx="0">
                  <c:v>Cumulative Revenue %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'Product Summary'!$J$2:$J$5</c:f>
              <c:strCache>
                <c:ptCount val="4"/>
                <c:pt idx="0">
                  <c:v>Bracelets</c:v>
                </c:pt>
                <c:pt idx="1">
                  <c:v>Earrings</c:v>
                </c:pt>
                <c:pt idx="2">
                  <c:v>Rings</c:v>
                </c:pt>
                <c:pt idx="3">
                  <c:v>Neckpieces</c:v>
                </c:pt>
              </c:strCache>
            </c:strRef>
          </c:cat>
          <c:val>
            <c:numRef>
              <c:f>'Product Summary'!$L$2:$L$5</c:f>
              <c:numCache>
                <c:formatCode>General</c:formatCode>
                <c:ptCount val="4"/>
                <c:pt idx="0">
                  <c:v>0.40313653136531363</c:v>
                </c:pt>
                <c:pt idx="1">
                  <c:v>0.77846863468634686</c:v>
                </c:pt>
                <c:pt idx="2">
                  <c:v>0.92225092250922502</c:v>
                </c:pt>
                <c:pt idx="3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D4-40DC-99D3-64BBDAFE9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527856"/>
        <c:axId val="1521525456"/>
      </c:lineChart>
      <c:catAx>
        <c:axId val="152151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522576"/>
        <c:crosses val="autoZero"/>
        <c:auto val="1"/>
        <c:lblAlgn val="ctr"/>
        <c:lblOffset val="100"/>
        <c:noMultiLvlLbl val="0"/>
      </c:catAx>
      <c:valAx>
        <c:axId val="152152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519696"/>
        <c:crosses val="autoZero"/>
        <c:crossBetween val="between"/>
      </c:valAx>
      <c:catAx>
        <c:axId val="1521527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21525456"/>
        <c:crosses val="autoZero"/>
        <c:auto val="1"/>
        <c:lblAlgn val="ctr"/>
        <c:lblOffset val="100"/>
        <c:noMultiLvlLbl val="0"/>
      </c:catAx>
      <c:valAx>
        <c:axId val="1521525456"/>
        <c:scaling>
          <c:orientation val="minMax"/>
          <c:max val="1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52785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strike="noStrike" baseline="0"/>
              <a:t>Total Revenue by Product Category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strike="noStrike" baseline="0"/>
              <a:t>(Mar–May 2026)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Summary'!$K$1</c:f>
              <c:strCache>
                <c:ptCount val="1"/>
                <c:pt idx="0">
                  <c:v>Total Revenue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'Product Summary'!$J$2:$J$5</c:f>
              <c:strCache>
                <c:ptCount val="4"/>
                <c:pt idx="0">
                  <c:v>Bracelets</c:v>
                </c:pt>
                <c:pt idx="1">
                  <c:v>Earrings</c:v>
                </c:pt>
                <c:pt idx="2">
                  <c:v>Rings</c:v>
                </c:pt>
                <c:pt idx="3">
                  <c:v>Neckpieces</c:v>
                </c:pt>
              </c:strCache>
            </c:strRef>
          </c:cat>
          <c:val>
            <c:numRef>
              <c:f>'Product Summary'!$K$2:$K$5</c:f>
              <c:numCache>
                <c:formatCode>General</c:formatCode>
                <c:ptCount val="4"/>
                <c:pt idx="0">
                  <c:v>21850</c:v>
                </c:pt>
                <c:pt idx="1">
                  <c:v>20343</c:v>
                </c:pt>
                <c:pt idx="2">
                  <c:v>7793</c:v>
                </c:pt>
                <c:pt idx="3">
                  <c:v>4214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D-4CFB-8BAC-2C24E5B13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29168256"/>
        <c:axId val="429161536"/>
      </c:barChart>
      <c:catAx>
        <c:axId val="4291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61536"/>
        <c:crosses val="autoZero"/>
        <c:auto val="1"/>
        <c:lblAlgn val="ctr"/>
        <c:lblOffset val="100"/>
        <c:noMultiLvlLbl val="0"/>
      </c:catAx>
      <c:valAx>
        <c:axId val="42916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6825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/>
              <a:t>Payment Mode Distribution (% of Revenue)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'Product Summary'!$K$8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553-4AA2-959B-B05554CC63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553-4AA2-959B-B05554CC63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553-4AA2-959B-B05554CC634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'Product Summary'!$J$9:$J$11</c:f>
              <c:strCache>
                <c:ptCount val="3"/>
                <c:pt idx="0">
                  <c:v>UPI</c:v>
                </c:pt>
                <c:pt idx="1">
                  <c:v>Cash</c:v>
                </c:pt>
                <c:pt idx="2">
                  <c:v>Card</c:v>
                </c:pt>
              </c:strCache>
            </c:strRef>
          </c:cat>
          <c:val>
            <c:numRef>
              <c:f>'Product Summary'!$K$9:$K$11</c:f>
              <c:numCache>
                <c:formatCode>General</c:formatCode>
                <c:ptCount val="3"/>
                <c:pt idx="0">
                  <c:v>48088</c:v>
                </c:pt>
                <c:pt idx="1">
                  <c:v>1096</c:v>
                </c:pt>
                <c:pt idx="2">
                  <c:v>5016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D-42BE-8A93-9C9DCB073C8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Order Value by Number of Items in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Summary'!$K$27</c:f>
              <c:strCache>
                <c:ptCount val="1"/>
                <c:pt idx="0">
                  <c:v>Avg Order Value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Summary'!$J$28:$J$30</c:f>
              <c:strCache>
                <c:ptCount val="3"/>
                <c:pt idx="0">
                  <c:v>One</c:v>
                </c:pt>
                <c:pt idx="1">
                  <c:v>Two</c:v>
                </c:pt>
                <c:pt idx="2">
                  <c:v>Three</c:v>
                </c:pt>
              </c:strCache>
            </c:strRef>
          </c:cat>
          <c:val>
            <c:numRef>
              <c:f>'Product Summary'!$K$28:$K$30</c:f>
              <c:numCache>
                <c:formatCode>General</c:formatCode>
                <c:ptCount val="3"/>
                <c:pt idx="0">
                  <c:v>290.5</c:v>
                </c:pt>
                <c:pt idx="1">
                  <c:v>560.9</c:v>
                </c:pt>
                <c:pt idx="2">
                  <c:v>746.3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7-46B9-8C14-0858A0F69DE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97283792"/>
        <c:axId val="1722119376"/>
      </c:barChart>
      <c:catAx>
        <c:axId val="1897283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Items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119376"/>
        <c:crosses val="autoZero"/>
        <c:auto val="1"/>
        <c:lblAlgn val="ctr"/>
        <c:lblOffset val="100"/>
        <c:noMultiLvlLbl val="0"/>
      </c:catAx>
      <c:valAx>
        <c:axId val="17221193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 Order Value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89728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Hold Duration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'Hold Tracker'!$U$1</c:f>
              <c:strCache>
                <c:ptCount val="1"/>
                <c:pt idx="0">
                  <c:v>Converted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'Hold Tracker'!$T$2:$T$5</c:f>
              <c:strCache>
                <c:ptCount val="4"/>
                <c:pt idx="0">
                  <c:v>0–6 hrs</c:v>
                </c:pt>
                <c:pt idx="1">
                  <c:v>6–24 hrs</c:v>
                </c:pt>
                <c:pt idx="2">
                  <c:v>24–48 hrs</c:v>
                </c:pt>
                <c:pt idx="3">
                  <c:v>48+ hrs</c:v>
                </c:pt>
              </c:strCache>
            </c:strRef>
          </c:cat>
          <c:val>
            <c:numRef>
              <c:f>'Hold Tracker'!$U$2:$U$5</c:f>
              <c:numCache>
                <c:formatCode>General</c:formatCode>
                <c:ptCount val="4"/>
                <c:pt idx="0">
                  <c:v>20</c:v>
                </c:pt>
                <c:pt idx="1">
                  <c:v>4</c:v>
                </c:pt>
                <c:pt idx="2">
                  <c:v>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0-42A3-A169-AA16F677F2AE}"/>
            </c:ext>
          </c:extLst>
        </c:ser>
        <c:ser>
          <c:idx val="1"/>
          <c:order val="1"/>
          <c:tx>
            <c:strRef>
              <c:f>'Hold Tracker'!$V$1</c:f>
              <c:strCache>
                <c:ptCount val="1"/>
                <c:pt idx="0">
                  <c:v>Ghosted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'Hold Tracker'!$T$2:$T$5</c:f>
              <c:strCache>
                <c:ptCount val="4"/>
                <c:pt idx="0">
                  <c:v>0–6 hrs</c:v>
                </c:pt>
                <c:pt idx="1">
                  <c:v>6–24 hrs</c:v>
                </c:pt>
                <c:pt idx="2">
                  <c:v>24–48 hrs</c:v>
                </c:pt>
                <c:pt idx="3">
                  <c:v>48+ hrs</c:v>
                </c:pt>
              </c:strCache>
            </c:strRef>
          </c:cat>
          <c:val>
            <c:numRef>
              <c:f>'Hold Tracker'!$V$2:$V$5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30-42A3-A169-AA16F677F2A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36752703"/>
        <c:axId val="836753183"/>
      </c:barChart>
      <c:catAx>
        <c:axId val="83675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753183"/>
        <c:crosses val="autoZero"/>
        <c:auto val="1"/>
        <c:lblAlgn val="ctr"/>
        <c:lblOffset val="100"/>
        <c:noMultiLvlLbl val="0"/>
      </c:catAx>
      <c:valAx>
        <c:axId val="83675318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3675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Inventory Value Held by Category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'Hold Tracker'!$U$8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'Hold Tracker'!$T$9:$T$12</c:f>
              <c:strCache>
                <c:ptCount val="4"/>
                <c:pt idx="0">
                  <c:v>Earrings</c:v>
                </c:pt>
                <c:pt idx="1">
                  <c:v>Bracelets</c:v>
                </c:pt>
                <c:pt idx="2">
                  <c:v>Rings</c:v>
                </c:pt>
                <c:pt idx="3">
                  <c:v>Neckpieces</c:v>
                </c:pt>
              </c:strCache>
            </c:strRef>
          </c:cat>
          <c:val>
            <c:numRef>
              <c:f>'Hold Tracker'!$U$9:$U$12</c:f>
              <c:numCache>
                <c:formatCode>General</c:formatCode>
                <c:ptCount val="4"/>
                <c:pt idx="0">
                  <c:v>5806</c:v>
                </c:pt>
                <c:pt idx="1">
                  <c:v>8404</c:v>
                </c:pt>
                <c:pt idx="2">
                  <c:v>1244</c:v>
                </c:pt>
                <c:pt idx="3">
                  <c:v>1246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4-41D3-A4B5-33B2AA455C3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62867871"/>
        <c:axId val="662869311"/>
      </c:barChart>
      <c:catAx>
        <c:axId val="66286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869311"/>
        <c:crosses val="autoZero"/>
        <c:auto val="1"/>
        <c:lblAlgn val="ctr"/>
        <c:lblOffset val="100"/>
        <c:noMultiLvlLbl val="0"/>
      </c:catAx>
      <c:valAx>
        <c:axId val="66286931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6286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Monthly Value Held Under Reservation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'Hold Tracker'!$U$15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'Hold Tracker'!$T$16:$T$18</c:f>
              <c:strCache>
                <c:ptCount val="3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</c:strCache>
            </c:strRef>
          </c:cat>
          <c:val>
            <c:numRef>
              <c:f>'Hold Tracker'!$U$16:$U$18</c:f>
              <c:numCache>
                <c:formatCode>General</c:formatCode>
                <c:ptCount val="3"/>
                <c:pt idx="0">
                  <c:v>3172</c:v>
                </c:pt>
                <c:pt idx="1">
                  <c:v>5097</c:v>
                </c:pt>
                <c:pt idx="2">
                  <c:v>8431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8-46C9-B96D-FC43A3DAA3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36697983"/>
        <c:axId val="836701823"/>
      </c:barChart>
      <c:catAx>
        <c:axId val="83669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701823"/>
        <c:crosses val="autoZero"/>
        <c:auto val="1"/>
        <c:lblAlgn val="ctr"/>
        <c:lblOffset val="100"/>
        <c:noMultiLvlLbl val="0"/>
      </c:catAx>
      <c:valAx>
        <c:axId val="83670182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3669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Ghost Rate by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'Hold Tracker'!$U$21</c:f>
              <c:strCache>
                <c:ptCount val="1"/>
                <c:pt idx="0">
                  <c:v>Ghost Rate</c:v>
                </c:pt>
              </c:strCache>
            </c:strRef>
          </c:tx>
          <c:spPr>
            <a:gradFill flip="none" rotWithShape="1">
              <a:gsLst>
                <a:gs pos="0">
                  <a:srgbClr val="876853">
                    <a:shade val="30000"/>
                    <a:satMod val="115000"/>
                  </a:srgbClr>
                </a:gs>
                <a:gs pos="50000">
                  <a:srgbClr val="876853">
                    <a:shade val="67500"/>
                    <a:satMod val="115000"/>
                  </a:srgbClr>
                </a:gs>
                <a:gs pos="100000">
                  <a:srgbClr val="876853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1.243006570108193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32-41BC-B3E1-5D46A566255C}"/>
                </c:ext>
              </c:extLst>
            </c:dLbl>
            <c:dLbl>
              <c:idx val="1"/>
              <c:layout>
                <c:manualLayout>
                  <c:x val="-3.3964021136853968E-3"/>
                  <c:y val="-2.47678409573336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32-41BC-B3E1-5D46A566255C}"/>
                </c:ext>
              </c:extLst>
            </c:dLbl>
            <c:dLbl>
              <c:idx val="2"/>
              <c:layout>
                <c:manualLayout>
                  <c:x val="-1.2453330554908971E-16"/>
                  <c:y val="-1.24300657010819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32-41BC-B3E1-5D46A56625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'Hold Tracker'!$T$22:$T$25</c:f>
              <c:strCache>
                <c:ptCount val="4"/>
                <c:pt idx="0">
                  <c:v>Earrings</c:v>
                </c:pt>
                <c:pt idx="1">
                  <c:v>Bracelets</c:v>
                </c:pt>
                <c:pt idx="2">
                  <c:v>Rings</c:v>
                </c:pt>
                <c:pt idx="3">
                  <c:v>Neckpieces</c:v>
                </c:pt>
              </c:strCache>
            </c:strRef>
          </c:cat>
          <c:val>
            <c:numRef>
              <c:f>'Hold Tracker'!$U$22:$U$25</c:f>
              <c:numCache>
                <c:formatCode>0%</c:formatCode>
                <c:ptCount val="4"/>
                <c:pt idx="0">
                  <c:v>0.21</c:v>
                </c:pt>
                <c:pt idx="1">
                  <c:v>0.2</c:v>
                </c:pt>
                <c:pt idx="2">
                  <c:v>0.25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0-46B6-A5B3-EB37C6B9F8D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36747423"/>
        <c:axId val="836749343"/>
      </c:barChart>
      <c:catAx>
        <c:axId val="83674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749343"/>
        <c:crosses val="autoZero"/>
        <c:auto val="1"/>
        <c:lblAlgn val="ctr"/>
        <c:lblOffset val="100"/>
        <c:noMultiLvlLbl val="0"/>
      </c:catAx>
      <c:valAx>
        <c:axId val="83674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74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Monthly Ghost Rate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'Hold Tracker'!$U$28</c:f>
              <c:strCache>
                <c:ptCount val="1"/>
                <c:pt idx="0">
                  <c:v>Ghost Rate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'Hold Tracker'!$T$29:$T$31</c:f>
              <c:strCache>
                <c:ptCount val="3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</c:strCache>
            </c:strRef>
          </c:cat>
          <c:val>
            <c:numRef>
              <c:f>'Hold Tracker'!$U$29:$U$31</c:f>
              <c:numCache>
                <c:formatCode>0%</c:formatCode>
                <c:ptCount val="3"/>
                <c:pt idx="0">
                  <c:v>0.25</c:v>
                </c:pt>
                <c:pt idx="1">
                  <c:v>0.2</c:v>
                </c:pt>
                <c:pt idx="2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EC-41DE-A45F-DEBF99C6532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88132351"/>
        <c:axId val="988132831"/>
      </c:lineChart>
      <c:catAx>
        <c:axId val="98813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132831"/>
        <c:crosses val="autoZero"/>
        <c:auto val="1"/>
        <c:lblAlgn val="ctr"/>
        <c:lblOffset val="100"/>
        <c:noMultiLvlLbl val="0"/>
      </c:catAx>
      <c:valAx>
        <c:axId val="9881328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98813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Financial Impact of Bargaining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'Hold Tracker'!$U$39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'Hold Tracker'!$T$40:$T$41</c:f>
              <c:strCache>
                <c:ptCount val="2"/>
                <c:pt idx="0">
                  <c:v>Bargained Converted Orders</c:v>
                </c:pt>
                <c:pt idx="1">
                  <c:v>Estimated Revenue Reduction</c:v>
                </c:pt>
              </c:strCache>
            </c:strRef>
          </c:cat>
          <c:val>
            <c:numRef>
              <c:f>'Hold Tracker'!$U$40:$U$41</c:f>
              <c:numCache>
                <c:formatCode>General</c:formatCode>
                <c:ptCount val="2"/>
                <c:pt idx="0">
                  <c:v>10230</c:v>
                </c:pt>
                <c:pt idx="1">
                  <c:v>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6-40A6-9917-247F41F043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85540623"/>
        <c:axId val="1885541103"/>
      </c:barChart>
      <c:catAx>
        <c:axId val="188554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541103"/>
        <c:crosses val="autoZero"/>
        <c:auto val="1"/>
        <c:lblAlgn val="ctr"/>
        <c:lblOffset val="100"/>
        <c:noMultiLvlLbl val="0"/>
      </c:catAx>
      <c:valAx>
        <c:axId val="188554110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8554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Ghosted Orders Flagged Under Hold Policies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'Hold Tracker'!$U$44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'Hold Tracker'!$T$45:$T$46</c:f>
              <c:strCache>
                <c:ptCount val="2"/>
                <c:pt idx="0">
                  <c:v>Ghosted &gt;24 hrs</c:v>
                </c:pt>
                <c:pt idx="1">
                  <c:v>Ghosted &gt;48 hrs</c:v>
                </c:pt>
              </c:strCache>
            </c:strRef>
          </c:cat>
          <c:val>
            <c:numRef>
              <c:f>'Hold Tracker'!$U$45:$U$46</c:f>
              <c:numCache>
                <c:formatCode>General</c:formatCode>
                <c:ptCount val="2"/>
                <c:pt idx="0">
                  <c:v>7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8-4D25-9DD0-6F84D4E6900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27427647"/>
        <c:axId val="2127427167"/>
      </c:barChart>
      <c:catAx>
        <c:axId val="212742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427167"/>
        <c:crosses val="autoZero"/>
        <c:auto val="1"/>
        <c:lblAlgn val="ctr"/>
        <c:lblOffset val="100"/>
        <c:noMultiLvlLbl val="0"/>
      </c:catAx>
      <c:valAx>
        <c:axId val="212742716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27427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Inventory Value Released Under Hold Policies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'Hold Tracker'!$U$49</c:f>
              <c:strCache>
                <c:ptCount val="1"/>
                <c:pt idx="0">
                  <c:v>Value Released</c:v>
                </c:pt>
              </c:strCache>
            </c:strRef>
          </c:tx>
          <c:spPr>
            <a:gradFill flip="none" rotWithShape="1">
              <a:gsLst>
                <a:gs pos="0">
                  <a:srgbClr val="876853">
                    <a:shade val="30000"/>
                    <a:satMod val="115000"/>
                  </a:srgbClr>
                </a:gs>
                <a:gs pos="50000">
                  <a:srgbClr val="876853">
                    <a:shade val="67500"/>
                    <a:satMod val="115000"/>
                  </a:srgbClr>
                </a:gs>
                <a:gs pos="100000">
                  <a:srgbClr val="876853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5475226978603177E-3"/>
                  <c:y val="-5.961093344987293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4E-4849-835B-50261A5233DD}"/>
                </c:ext>
              </c:extLst>
            </c:dLbl>
            <c:dLbl>
              <c:idx val="1"/>
              <c:layout>
                <c:manualLayout>
                  <c:x val="-3.5475226978602852E-3"/>
                  <c:y val="-2.35807718899071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14E-4849-835B-50261A5233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'Hold Tracker'!$T$50:$T$51</c:f>
              <c:strCache>
                <c:ptCount val="2"/>
                <c:pt idx="0">
                  <c:v>24-hour Rule</c:v>
                </c:pt>
                <c:pt idx="1">
                  <c:v>48-hour Rule</c:v>
                </c:pt>
              </c:strCache>
            </c:strRef>
          </c:cat>
          <c:val>
            <c:numRef>
              <c:f>'Hold Tracker'!$U$50:$U$51</c:f>
              <c:numCache>
                <c:formatCode>General</c:formatCode>
                <c:ptCount val="2"/>
                <c:pt idx="0">
                  <c:v>2320</c:v>
                </c:pt>
                <c:pt idx="1">
                  <c:v>1813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2-4766-9375-65E40C8F013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27436767"/>
        <c:axId val="2127431487"/>
      </c:barChart>
      <c:catAx>
        <c:axId val="21274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431487"/>
        <c:crosses val="autoZero"/>
        <c:auto val="1"/>
        <c:lblAlgn val="ctr"/>
        <c:lblOffset val="100"/>
        <c:noMultiLvlLbl val="0"/>
      </c:catAx>
      <c:valAx>
        <c:axId val="212743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4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Stock-hours Blocked by Hold Outcome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'Hold Tracker'!$U$54</c:f>
              <c:strCache>
                <c:ptCount val="1"/>
                <c:pt idx="0">
                  <c:v>Stock-hours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'Hold Tracker'!$T$55:$T$56</c:f>
              <c:strCache>
                <c:ptCount val="2"/>
                <c:pt idx="0">
                  <c:v>Converted</c:v>
                </c:pt>
                <c:pt idx="1">
                  <c:v>Ghosted</c:v>
                </c:pt>
              </c:strCache>
            </c:strRef>
          </c:cat>
          <c:val>
            <c:numRef>
              <c:f>'Hold Tracker'!$U$55:$U$56</c:f>
              <c:numCache>
                <c:formatCode>General</c:formatCode>
                <c:ptCount val="2"/>
                <c:pt idx="0">
                  <c:v>138871.4</c:v>
                </c:pt>
                <c:pt idx="1">
                  <c:v>173957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0-4B38-87AB-32BCBF13A1A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27428607"/>
        <c:axId val="2127432447"/>
      </c:barChart>
      <c:catAx>
        <c:axId val="212742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432447"/>
        <c:crosses val="autoZero"/>
        <c:auto val="1"/>
        <c:lblAlgn val="ctr"/>
        <c:lblOffset val="100"/>
        <c:noMultiLvlLbl val="0"/>
      </c:catAx>
      <c:valAx>
        <c:axId val="212743244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2742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Bargaining Rate: Converted vs Ghosted Holds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'Hold Tracker'!$N$37</c:f>
              <c:strCache>
                <c:ptCount val="1"/>
                <c:pt idx="0">
                  <c:v>Bargain Rate %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'Hold Tracker'!$M$38:$M$39</c:f>
              <c:strCache>
                <c:ptCount val="2"/>
                <c:pt idx="0">
                  <c:v>Converted</c:v>
                </c:pt>
                <c:pt idx="1">
                  <c:v>Ghosted</c:v>
                </c:pt>
              </c:strCache>
            </c:strRef>
          </c:cat>
          <c:val>
            <c:numRef>
              <c:f>'Hold Tracker'!$N$38:$N$39</c:f>
              <c:numCache>
                <c:formatCode>General</c:formatCode>
                <c:ptCount val="2"/>
                <c:pt idx="0">
                  <c:v>69</c:v>
                </c:pt>
                <c:pt idx="1">
                  <c:v>85.7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F-467A-9F5C-944989D8DF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23801936"/>
        <c:axId val="1722121776"/>
      </c:barChart>
      <c:catAx>
        <c:axId val="172380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121776"/>
        <c:crosses val="autoZero"/>
        <c:auto val="1"/>
        <c:lblAlgn val="ctr"/>
        <c:lblOffset val="100"/>
        <c:noMultiLvlLbl val="0"/>
      </c:catAx>
      <c:valAx>
        <c:axId val="17221217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baseline="0"/>
                  <a:t>% of Holds with Bargaining Attempt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crossAx val="172380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Hold Outcome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'Hold Tracker'!$U$34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 flip="none" rotWithShape="1">
                <a:gsLst>
                  <a:gs pos="0">
                    <a:srgbClr val="CFC3B5">
                      <a:shade val="30000"/>
                      <a:satMod val="115000"/>
                    </a:srgbClr>
                  </a:gs>
                  <a:gs pos="50000">
                    <a:srgbClr val="CFC3B5">
                      <a:shade val="67500"/>
                      <a:satMod val="115000"/>
                    </a:srgbClr>
                  </a:gs>
                  <a:gs pos="100000">
                    <a:srgbClr val="CFC3B5">
                      <a:shade val="100000"/>
                      <a:satMod val="115000"/>
                    </a:srgbClr>
                  </a:gs>
                </a:gsLst>
                <a:path path="circle">
                  <a:fillToRect l="100000" t="100000"/>
                </a:path>
                <a:tileRect r="-100000" b="-10000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A94-4233-8E79-C2439868CF0B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rgbClr val="67513D">
                      <a:shade val="30000"/>
                      <a:satMod val="115000"/>
                    </a:srgbClr>
                  </a:gs>
                  <a:gs pos="50000">
                    <a:srgbClr val="67513D">
                      <a:shade val="67500"/>
                      <a:satMod val="115000"/>
                    </a:srgbClr>
                  </a:gs>
                  <a:gs pos="100000">
                    <a:srgbClr val="67513D">
                      <a:shade val="100000"/>
                      <a:satMod val="115000"/>
                    </a:srgbClr>
                  </a:gs>
                </a:gsLst>
                <a:lin ang="27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A94-4233-8E79-C2439868CF0B}"/>
              </c:ext>
            </c:extLst>
          </c:dPt>
          <c:dLbls>
            <c:dLbl>
              <c:idx val="0"/>
              <c:layout>
                <c:manualLayout>
                  <c:x val="9.896455503288934E-2"/>
                  <c:y val="-0.14368633509418918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94-4233-8E79-C2439868CF0B}"/>
                </c:ext>
              </c:extLst>
            </c:dLbl>
            <c:dLbl>
              <c:idx val="1"/>
              <c:layout>
                <c:manualLayout>
                  <c:x val="-4.7141705599118129E-2"/>
                  <c:y val="3.609189674075553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94-4233-8E79-C2439868CF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'Hold Tracker'!$T$35:$T$36</c:f>
              <c:strCache>
                <c:ptCount val="2"/>
                <c:pt idx="0">
                  <c:v>Converted</c:v>
                </c:pt>
                <c:pt idx="1">
                  <c:v>Ghosted</c:v>
                </c:pt>
              </c:strCache>
            </c:strRef>
          </c:cat>
          <c:val>
            <c:numRef>
              <c:f>'Hold Tracker'!$U$35:$U$36</c:f>
              <c:numCache>
                <c:formatCode>General</c:formatCode>
                <c:ptCount val="2"/>
                <c:pt idx="0">
                  <c:v>29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4-4233-8E79-C2439868CF0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31750</xdr:colOff>
      <xdr:row>0</xdr:row>
      <xdr:rowOff>47625</xdr:rowOff>
    </xdr:from>
    <xdr:to>
      <xdr:col>19</xdr:col>
      <xdr:colOff>361950</xdr:colOff>
      <xdr:row>11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130174</xdr:colOff>
      <xdr:row>27</xdr:row>
      <xdr:rowOff>3174</xdr:rowOff>
    </xdr:from>
    <xdr:to>
      <xdr:col>19</xdr:col>
      <xdr:colOff>431799</xdr:colOff>
      <xdr:row>42</xdr:row>
      <xdr:rowOff>25399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41275</xdr:colOff>
      <xdr:row>12</xdr:row>
      <xdr:rowOff>9525</xdr:rowOff>
    </xdr:from>
    <xdr:to>
      <xdr:col>21</xdr:col>
      <xdr:colOff>396875</xdr:colOff>
      <xdr:row>26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304131</xdr:colOff>
      <xdr:row>0</xdr:row>
      <xdr:rowOff>176909</xdr:rowOff>
    </xdr:from>
    <xdr:to>
      <xdr:col>32</xdr:col>
      <xdr:colOff>74639</xdr:colOff>
      <xdr:row>14</xdr:row>
      <xdr:rowOff>57039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CA1E6F-9DEA-43E9-0B59-A5F477F08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760886</xdr:colOff>
      <xdr:row>27</xdr:row>
      <xdr:rowOff>54363</xdr:rowOff>
    </xdr:from>
    <xdr:to>
      <xdr:col>26</xdr:col>
      <xdr:colOff>403281</xdr:colOff>
      <xdr:row>41</xdr:row>
      <xdr:rowOff>144018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EAF7A4E-E2BC-6D07-B918-E39127A4B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326413</xdr:colOff>
      <xdr:row>42</xdr:row>
      <xdr:rowOff>149058</xdr:rowOff>
    </xdr:from>
    <xdr:to>
      <xdr:col>24</xdr:col>
      <xdr:colOff>353150</xdr:colOff>
      <xdr:row>57</xdr:row>
      <xdr:rowOff>51468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640C9A1-A214-7B13-053C-6829E1E62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14482</xdr:colOff>
      <xdr:row>58</xdr:row>
      <xdr:rowOff>26513</xdr:rowOff>
    </xdr:from>
    <xdr:to>
      <xdr:col>27</xdr:col>
      <xdr:colOff>687359</xdr:colOff>
      <xdr:row>72</xdr:row>
      <xdr:rowOff>118310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4DD4665-B8F2-8B14-A628-E89ABE763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111533</xdr:colOff>
      <xdr:row>184</xdr:row>
      <xdr:rowOff>32727</xdr:rowOff>
    </xdr:from>
    <xdr:to>
      <xdr:col>28</xdr:col>
      <xdr:colOff>401353</xdr:colOff>
      <xdr:row>198</xdr:row>
      <xdr:rowOff>154517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B4CBDA8-7879-C204-6536-913012CE9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139700</xdr:colOff>
      <xdr:row>10</xdr:row>
      <xdr:rowOff>104775</xdr:rowOff>
    </xdr:from>
    <xdr:to>
      <xdr:col>16</xdr:col>
      <xdr:colOff>533400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739775</xdr:colOff>
      <xdr:row>0</xdr:row>
      <xdr:rowOff>142875</xdr:rowOff>
    </xdr:from>
    <xdr:to>
      <xdr:col>21</xdr:col>
      <xdr:colOff>508000</xdr:colOff>
      <xdr:row>12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70184</xdr:colOff>
      <xdr:row>12</xdr:row>
      <xdr:rowOff>71076</xdr:rowOff>
    </xdr:from>
    <xdr:to>
      <xdr:col>12</xdr:col>
      <xdr:colOff>334211</xdr:colOff>
      <xdr:row>25</xdr:row>
      <xdr:rowOff>44561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DA01B7-B3E7-6E8B-E8B3-77A5F2694D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337553</xdr:colOff>
      <xdr:row>25</xdr:row>
      <xdr:rowOff>20944</xdr:rowOff>
    </xdr:from>
    <xdr:to>
      <xdr:col>16</xdr:col>
      <xdr:colOff>1311220</xdr:colOff>
      <xdr:row>39</xdr:row>
      <xdr:rowOff>112741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3C5FDE6-60DF-0D8D-127F-B37C0ADFD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593725</xdr:colOff>
      <xdr:row>0</xdr:row>
      <xdr:rowOff>12700</xdr:rowOff>
    </xdr:from>
    <xdr:to>
      <xdr:col>28</xdr:col>
      <xdr:colOff>546100</xdr:colOff>
      <xdr:row>12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5775B2-DF0C-EAE2-DDA3-BB3D32902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606425</xdr:colOff>
      <xdr:row>12</xdr:row>
      <xdr:rowOff>165100</xdr:rowOff>
    </xdr:from>
    <xdr:to>
      <xdr:col>28</xdr:col>
      <xdr:colOff>558800</xdr:colOff>
      <xdr:row>25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CBEF90-6143-F4CD-919B-147DD574D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606425</xdr:colOff>
      <xdr:row>26</xdr:row>
      <xdr:rowOff>50800</xdr:rowOff>
    </xdr:from>
    <xdr:to>
      <xdr:col>29</xdr:col>
      <xdr:colOff>38100</xdr:colOff>
      <xdr:row>38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4C624F-0BED-B250-5C3F-B7578C059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34925</xdr:colOff>
      <xdr:row>0</xdr:row>
      <xdr:rowOff>0</xdr:rowOff>
    </xdr:from>
    <xdr:to>
      <xdr:col>35</xdr:col>
      <xdr:colOff>107950</xdr:colOff>
      <xdr:row>11</xdr:row>
      <xdr:rowOff>69850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31D272-3CAE-EAF4-5857-9362D893E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107949</xdr:colOff>
      <xdr:row>11</xdr:row>
      <xdr:rowOff>177800</xdr:rowOff>
    </xdr:from>
    <xdr:to>
      <xdr:col>35</xdr:col>
      <xdr:colOff>149224</xdr:colOff>
      <xdr:row>21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BC7CDDA-C05C-4D5C-9C12-E58F83D43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0</xdr:colOff>
      <xdr:row>38</xdr:row>
      <xdr:rowOff>54155</xdr:rowOff>
    </xdr:from>
    <xdr:to>
      <xdr:col>29</xdr:col>
      <xdr:colOff>59905</xdr:colOff>
      <xdr:row>44</xdr:row>
      <xdr:rowOff>347453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1E0F7E-1BC0-ED95-E0D4-6AF78C242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253999</xdr:colOff>
      <xdr:row>35</xdr:row>
      <xdr:rowOff>54155</xdr:rowOff>
    </xdr:from>
    <xdr:to>
      <xdr:col>35</xdr:col>
      <xdr:colOff>167736</xdr:colOff>
      <xdr:row>43</xdr:row>
      <xdr:rowOff>167735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AC7467D-DBA8-A101-BE23-A872D8A1E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230036</xdr:colOff>
      <xdr:row>44</xdr:row>
      <xdr:rowOff>138023</xdr:rowOff>
    </xdr:from>
    <xdr:to>
      <xdr:col>35</xdr:col>
      <xdr:colOff>143773</xdr:colOff>
      <xdr:row>53</xdr:row>
      <xdr:rowOff>83868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F1DAF9C-67F4-621B-17B9-A2263ED7A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23961</xdr:colOff>
      <xdr:row>45</xdr:row>
      <xdr:rowOff>161986</xdr:rowOff>
    </xdr:from>
    <xdr:to>
      <xdr:col>29</xdr:col>
      <xdr:colOff>107830</xdr:colOff>
      <xdr:row>55</xdr:row>
      <xdr:rowOff>155756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7C03B59-7F68-5231-4D5B-334B91B9D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577491</xdr:colOff>
      <xdr:row>35</xdr:row>
      <xdr:rowOff>240</xdr:rowOff>
    </xdr:from>
    <xdr:to>
      <xdr:col>18</xdr:col>
      <xdr:colOff>371415</xdr:colOff>
      <xdr:row>44</xdr:row>
      <xdr:rowOff>287548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7F10F51-AF9B-9366-0BCD-06E186833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170132</xdr:colOff>
      <xdr:row>22</xdr:row>
      <xdr:rowOff>114061</xdr:rowOff>
    </xdr:from>
    <xdr:to>
      <xdr:col>35</xdr:col>
      <xdr:colOff>179717</xdr:colOff>
      <xdr:row>33</xdr:row>
      <xdr:rowOff>143774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4BF84F8-B874-E48D-2318-8806E8EC6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OMA NANDI" refreshedDate="46180.895823495368" createdVersion="8" refreshedVersion="8" minRefreshableVersion="3" recordCount="204" xr:uid="{00000000-000A-0000-FFFF-FFFF00000000}">
  <cacheSource type="worksheet">
    <worksheetSource ref="A1:H205" sheet="Daily Sales"/>
  </cacheSource>
  <cacheFields count="8">
    <cacheField name="#" numFmtId="0">
      <sharedItems containsSemiMixedTypes="0" containsString="0" containsNumber="1" containsInteger="1" minValue="1" maxValue="204"/>
    </cacheField>
    <cacheField name="Order No." numFmtId="0">
      <sharedItems/>
    </cacheField>
    <cacheField name="Product Name" numFmtId="0">
      <sharedItems/>
    </cacheField>
    <cacheField name="Category" numFmtId="0">
      <sharedItems count="4">
        <s v="Earrings"/>
        <s v="Bracelets"/>
        <s v="Neckpieces"/>
        <s v="Rings"/>
      </sharedItems>
    </cacheField>
    <cacheField name="Date (DD-MM-YYYY)" numFmtId="0">
      <sharedItems/>
    </cacheField>
    <cacheField name="Qty" numFmtId="0">
      <sharedItems containsSemiMixedTypes="0" containsString="0" containsNumber="1" containsInteger="1" minValue="1" maxValue="8"/>
    </cacheField>
    <cacheField name="Unit Price (₹)" numFmtId="164">
      <sharedItems containsSemiMixedTypes="0" containsString="0" containsNumber="1" containsInteger="1" minValue="50" maxValue="550"/>
    </cacheField>
    <cacheField name="Line Total (₹)" numFmtId="164">
      <sharedItems containsSemiMixedTypes="0" containsString="0" containsNumber="1" containsInteger="1" minValue="50" maxValue="1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OMA NANDI" refreshedDate="46188.913274768522" createdVersion="8" refreshedVersion="8" minRefreshableVersion="3" recordCount="0" xr:uid="{00000000-000A-0000-FFFF-FFFF01000000}">
  <cacheSource type="worksheet">
    <worksheetSource ref="A1:I205" sheet="Daily Sales"/>
  </cacheSource>
  <cacheFields count="9">
    <cacheField name="#" numFmtId="0">
      <sharedItems containsSemiMixedTypes="0" containsString="0" containsNumber="1" containsInteger="1" minValue="1" maxValue="204"/>
    </cacheField>
    <cacheField name="Order No." numFmtId="0">
      <sharedItems count="100"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  <s v="ORD016"/>
        <s v="ORD017"/>
        <s v="ORD018"/>
        <s v="ORD019"/>
        <s v="ORD020"/>
        <s v="ORD021"/>
        <s v="ORD022"/>
        <s v="ORD023"/>
        <s v="ORD024"/>
        <s v="ORD025"/>
        <s v="ORD026"/>
        <s v="ORD027"/>
        <s v="ORD028"/>
        <s v="ORD029"/>
        <s v="ORD030"/>
        <s v="ORD031"/>
        <s v="ORD032"/>
        <s v="ORD033"/>
        <s v="ORD034"/>
        <s v="ORD035"/>
        <s v="ORD036"/>
        <s v="ORD037"/>
        <s v="ORD038"/>
        <s v="ORD039"/>
        <s v="ORD040"/>
        <s v="ORD041"/>
        <s v="ORD042"/>
        <s v="ORD043"/>
        <s v="ORD044"/>
        <s v="ORD045"/>
        <s v="ORD046"/>
        <s v="ORD047"/>
        <s v="ORD048"/>
        <s v="ORD049"/>
        <s v="ORD050"/>
        <s v="ORD051"/>
        <s v="ORD052"/>
        <s v="ORD053"/>
        <s v="ORD054"/>
        <s v="ORD055"/>
        <s v="ORD056"/>
        <s v="ORD057"/>
        <s v="ORD058"/>
        <s v="ORD059"/>
        <s v="ORD060"/>
        <s v="ORD061"/>
        <s v="ORD062"/>
        <s v="ORD063"/>
        <s v="ORD064"/>
        <s v="ORD065"/>
        <s v="ORD066"/>
        <s v="ORD067"/>
        <s v="ORD068"/>
        <s v="ORD069"/>
        <s v="ORD070"/>
        <s v="ORD071"/>
        <s v="ORD072"/>
        <s v="ORD073"/>
        <s v="ORD074"/>
        <s v="ORD075"/>
        <s v="ORD076"/>
        <s v="ORD077"/>
        <s v="ORD078"/>
        <s v="ORD079"/>
        <s v="ORD080"/>
        <s v="ORD081"/>
        <s v="ORD082"/>
        <s v="ORD083"/>
        <s v="ORD084"/>
        <s v="ORD085"/>
        <s v="ORD086"/>
        <s v="ORD087"/>
        <s v="ORD088"/>
        <s v="ORD089"/>
        <s v="ORD090"/>
        <s v="ORD091"/>
        <s v="ORD092"/>
        <s v="ORD093"/>
        <s v="ORD094"/>
        <s v="ORD095"/>
        <s v="ORD096"/>
        <s v="ORD097"/>
        <s v="ORD098"/>
        <s v="ORD099"/>
        <s v="ORD100"/>
      </sharedItems>
    </cacheField>
    <cacheField name="Product Name" numFmtId="0">
      <sharedItems/>
    </cacheField>
    <cacheField name="Category" numFmtId="0">
      <sharedItems/>
    </cacheField>
    <cacheField name="Date (DD-MM-YYYY)" numFmtId="0">
      <sharedItems/>
    </cacheField>
    <cacheField name="Qty" numFmtId="0">
      <sharedItems containsSemiMixedTypes="0" containsString="0" containsNumber="1" containsInteger="1" minValue="1" maxValue="8"/>
    </cacheField>
    <cacheField name="Unit Price (₹)" numFmtId="164">
      <sharedItems containsSemiMixedTypes="0" containsString="0" containsNumber="1" containsInteger="1" minValue="50" maxValue="550"/>
    </cacheField>
    <cacheField name="Line Total (₹)" numFmtId="164">
      <sharedItems containsSemiMixedTypes="0" containsString="0" containsNumber="1" containsInteger="1" minValue="50" maxValue="1400"/>
    </cacheField>
    <cacheField name="Month" numFmtId="164">
      <sharedItems count="3">
        <s v="Mar"/>
        <s v="Apr"/>
        <s v="M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OMA NANDI" refreshedDate="46231.490515277779" createdVersion="8" refreshedVersion="8" minRefreshableVersion="3" recordCount="204" xr:uid="{8489115D-391F-47C4-87A4-ABA605E58780}">
  <cacheSource type="worksheet">
    <worksheetSource ref="F1:G205" sheet="Daily Sales"/>
  </cacheSource>
  <cacheFields count="2">
    <cacheField name="Qty" numFmtId="0">
      <sharedItems containsSemiMixedTypes="0" containsString="0" containsNumber="1" containsInteger="1" minValue="1" maxValue="8"/>
    </cacheField>
    <cacheField name="Unit Price (₹)" numFmtId="164">
      <sharedItems containsSemiMixedTypes="0" containsString="0" containsNumber="1" containsInteger="1" minValue="50" maxValue="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n v="1"/>
    <s v="ORD001"/>
    <s v="Daily Glow Anti-Tarnish Earrings"/>
    <x v="0"/>
    <s v="01-03-2026"/>
    <n v="1"/>
    <n v="175"/>
    <n v="175"/>
  </r>
  <r>
    <n v="2"/>
    <s v="ORD001"/>
    <s v="Anti-Tarnish Artistry Dots"/>
    <x v="0"/>
    <s v="01-03-2026"/>
    <n v="1"/>
    <n v="249"/>
    <n v="249"/>
  </r>
  <r>
    <n v="3"/>
    <s v="ORD002"/>
    <s v="Aurel Anti-Tarnish Bangles"/>
    <x v="1"/>
    <s v="02-03-2026"/>
    <n v="1"/>
    <n v="399"/>
    <n v="399"/>
  </r>
  <r>
    <n v="4"/>
    <s v="ORD003"/>
    <s v="Orchid Bloom Anti-Tarnish Bangle"/>
    <x v="1"/>
    <s v="04-03-2026"/>
    <n v="1"/>
    <n v="399"/>
    <n v="399"/>
  </r>
  <r>
    <n v="5"/>
    <s v="ORD003"/>
    <s v="Vanki Glow Star Studs"/>
    <x v="0"/>
    <s v="04-03-2026"/>
    <n v="3"/>
    <n v="175"/>
    <n v="525"/>
  </r>
  <r>
    <n v="6"/>
    <s v="ORD003"/>
    <s v="Trivara Anti-tarnish Earrings"/>
    <x v="0"/>
    <s v="04-03-2026"/>
    <n v="1"/>
    <n v="299"/>
    <n v="299"/>
  </r>
  <r>
    <n v="7"/>
    <s v="ORD004"/>
    <s v="Anti-Tarnish Artistry Dots"/>
    <x v="0"/>
    <s v="05-03-2026"/>
    <n v="1"/>
    <n v="249"/>
    <n v="249"/>
  </r>
  <r>
    <n v="8"/>
    <s v="ORD004"/>
    <s v="Vanki Tide Spark Tarnish proof Studs"/>
    <x v="0"/>
    <s v="05-03-2026"/>
    <n v="1"/>
    <n v="125"/>
    <n v="125"/>
  </r>
  <r>
    <n v="9"/>
    <s v="ORD005"/>
    <s v="Luminous Delight Anti-Tarnish Bangles"/>
    <x v="1"/>
    <s v="06-03-2026"/>
    <n v="1"/>
    <n v="249"/>
    <n v="249"/>
  </r>
  <r>
    <n v="10"/>
    <s v="ORD006"/>
    <s v="Vanki Tide Spark Tarnish proof Studs"/>
    <x v="0"/>
    <s v="07-03-2026"/>
    <n v="1"/>
    <n v="125"/>
    <n v="125"/>
  </r>
  <r>
    <n v="11"/>
    <s v="ORD007"/>
    <s v="Shine Shield Anti-Tarnish Bangle"/>
    <x v="1"/>
    <s v="09-03-2026"/>
    <n v="1"/>
    <n v="449"/>
    <n v="449"/>
  </r>
  <r>
    <n v="12"/>
    <s v="ORD007"/>
    <s v="Golden Monarch Anti-Tarnish Bangle"/>
    <x v="1"/>
    <s v="09-03-2026"/>
    <n v="1"/>
    <n v="299"/>
    <n v="299"/>
  </r>
  <r>
    <n v="13"/>
    <s v="ORD007"/>
    <s v="Daily Glow Anti-Tarnish Earrings"/>
    <x v="0"/>
    <s v="09-03-2026"/>
    <n v="1"/>
    <n v="175"/>
    <n v="175"/>
  </r>
  <r>
    <n v="14"/>
    <s v="ORD008"/>
    <s v="Glow fly Anti-Tarnish Stud"/>
    <x v="0"/>
    <s v="11-03-2026"/>
    <n v="1"/>
    <n v="99"/>
    <n v="99"/>
  </r>
  <r>
    <n v="15"/>
    <s v="ORD008"/>
    <s v="Shine Aura Non-Tarnish Bangle"/>
    <x v="1"/>
    <s v="11-03-2026"/>
    <n v="1"/>
    <n v="249"/>
    <n v="249"/>
  </r>
  <r>
    <n v="16"/>
    <s v="ORD008"/>
    <s v="Starlit Anti-Tarnish Huggie Earrings"/>
    <x v="0"/>
    <s v="11-03-2026"/>
    <n v="1"/>
    <n v="299"/>
    <n v="299"/>
  </r>
  <r>
    <n v="17"/>
    <s v="ORD009"/>
    <s v="Lume Wear Non-Tarnish Bangle"/>
    <x v="1"/>
    <s v="13-03-2026"/>
    <n v="1"/>
    <n v="349"/>
    <n v="349"/>
  </r>
  <r>
    <n v="18"/>
    <s v="ORD010"/>
    <s v="Celestial Trinity Non Tarnish Chain Pendant"/>
    <x v="2"/>
    <s v="15-03-2026"/>
    <n v="1"/>
    <n v="175"/>
    <n v="175"/>
  </r>
  <r>
    <n v="19"/>
    <s v="ORD010"/>
    <s v="Vanki Tide Spark Tarnish proof Studs"/>
    <x v="0"/>
    <s v="15-03-2026"/>
    <n v="1"/>
    <n v="125"/>
    <n v="125"/>
  </r>
  <r>
    <n v="20"/>
    <s v="ORD010"/>
    <s v="Honey Pop Anti-Tarnish Earrings"/>
    <x v="0"/>
    <s v="15-03-2026"/>
    <n v="1"/>
    <n v="120"/>
    <n v="120"/>
  </r>
  <r>
    <n v="21"/>
    <s v="ORD011"/>
    <s v="Non-Tarnish Perma Shine Bangle"/>
    <x v="1"/>
    <s v="16-03-2026"/>
    <n v="1"/>
    <n v="249"/>
    <n v="249"/>
  </r>
  <r>
    <n v="22"/>
    <s v="ORD011"/>
    <s v="Zenith Spark Anti-Tarnish Earrings"/>
    <x v="0"/>
    <s v="16-03-2026"/>
    <n v="1"/>
    <n v="175"/>
    <n v="175"/>
  </r>
  <r>
    <n v="23"/>
    <s v="ORD012"/>
    <s v="Honey Pop Anti-Tarnish Earrings"/>
    <x v="0"/>
    <s v="17-03-2026"/>
    <n v="1"/>
    <n v="120"/>
    <n v="120"/>
  </r>
  <r>
    <n v="24"/>
    <s v="ORD012"/>
    <s v="Aurel Anti-Tarnish Bangles"/>
    <x v="1"/>
    <s v="17-03-2026"/>
    <n v="1"/>
    <n v="399"/>
    <n v="399"/>
  </r>
  <r>
    <n v="25"/>
    <s v="ORD013"/>
    <s v="Glow fly Anti-Tarnish Stud"/>
    <x v="0"/>
    <s v="18-03-2026"/>
    <n v="2"/>
    <n v="99"/>
    <n v="198"/>
  </r>
  <r>
    <n v="26"/>
    <s v="ORD014"/>
    <s v="Daily Glow Anti-Tarnish Earrings"/>
    <x v="0"/>
    <s v="20-03-2026"/>
    <n v="1"/>
    <n v="175"/>
    <n v="175"/>
  </r>
  <r>
    <n v="27"/>
    <s v="ORD014"/>
    <s v="Luminous Delight Anti-Tarnish Bangles"/>
    <x v="1"/>
    <s v="20-03-2026"/>
    <n v="1"/>
    <n v="249"/>
    <n v="249"/>
  </r>
  <r>
    <n v="28"/>
    <s v="ORD014"/>
    <s v="Celestial Trinity Non Tarnish Chain Pendant"/>
    <x v="2"/>
    <s v="20-03-2026"/>
    <n v="1"/>
    <n v="175"/>
    <n v="175"/>
  </r>
  <r>
    <n v="29"/>
    <s v="ORD015"/>
    <s v="Starlit Anti-Tarnish Huggie Earrings"/>
    <x v="0"/>
    <s v="21-03-2026"/>
    <n v="1"/>
    <n v="299"/>
    <n v="299"/>
  </r>
  <r>
    <n v="30"/>
    <s v="ORD015"/>
    <s v="Glow fly Anti-Tarnish Stud"/>
    <x v="0"/>
    <s v="21-03-2026"/>
    <n v="1"/>
    <n v="99"/>
    <n v="99"/>
  </r>
  <r>
    <n v="31"/>
    <s v="ORD016"/>
    <s v="Shine Shield Anti-Tarnish Bangle"/>
    <x v="1"/>
    <s v="22-03-2026"/>
    <n v="1"/>
    <n v="449"/>
    <n v="449"/>
  </r>
  <r>
    <n v="32"/>
    <s v="ORD017"/>
    <s v="Vanki Glow Star Studs"/>
    <x v="0"/>
    <s v="23-03-2026"/>
    <n v="2"/>
    <n v="175"/>
    <n v="350"/>
  </r>
  <r>
    <n v="33"/>
    <s v="ORD017"/>
    <s v="Orchid Bloom Anti-Tarnish Bangle"/>
    <x v="1"/>
    <s v="23-03-2026"/>
    <n v="1"/>
    <n v="399"/>
    <n v="399"/>
  </r>
  <r>
    <n v="34"/>
    <s v="ORD017"/>
    <s v="Zenith Spark Anti-Tarnish Earrings"/>
    <x v="0"/>
    <s v="23-03-2026"/>
    <n v="1"/>
    <n v="175"/>
    <n v="175"/>
  </r>
  <r>
    <n v="35"/>
    <s v="ORD018"/>
    <s v="Lume Wear Non-Tarnish Bangle"/>
    <x v="1"/>
    <s v="24-03-2026"/>
    <n v="1"/>
    <n v="349"/>
    <n v="349"/>
  </r>
  <r>
    <n v="36"/>
    <s v="ORD018"/>
    <s v="Honey Pop Anti-Tarnish Earrings"/>
    <x v="0"/>
    <s v="24-03-2026"/>
    <n v="1"/>
    <n v="120"/>
    <n v="120"/>
  </r>
  <r>
    <n v="37"/>
    <s v="ORD019"/>
    <s v="Celestial Trinity Non Tarnish Chain Pendant"/>
    <x v="2"/>
    <s v="26-03-2026"/>
    <n v="1"/>
    <n v="175"/>
    <n v="175"/>
  </r>
  <r>
    <n v="38"/>
    <s v="ORD020"/>
    <s v="Golden Monarch Anti-Tarnish Bangle"/>
    <x v="1"/>
    <s v="27-03-2026"/>
    <n v="1"/>
    <n v="299"/>
    <n v="299"/>
  </r>
  <r>
    <n v="39"/>
    <s v="ORD020"/>
    <s v="Trivara Anti-tarnish Earrings"/>
    <x v="0"/>
    <s v="27-03-2026"/>
    <n v="1"/>
    <n v="299"/>
    <n v="299"/>
  </r>
  <r>
    <n v="40"/>
    <s v="ORD020"/>
    <s v="Glow fly Anti-Tarnish Stud"/>
    <x v="0"/>
    <s v="27-03-2026"/>
    <n v="1"/>
    <n v="99"/>
    <n v="99"/>
  </r>
  <r>
    <n v="41"/>
    <s v="ORD021"/>
    <s v="Anti-Tarnish Artistry Dots"/>
    <x v="0"/>
    <s v="29-03-2026"/>
    <n v="1"/>
    <n v="249"/>
    <n v="249"/>
  </r>
  <r>
    <n v="42"/>
    <s v="ORD021"/>
    <s v="Shine Aura Non-Tarnish Bangle"/>
    <x v="1"/>
    <s v="29-03-2026"/>
    <n v="1"/>
    <n v="249"/>
    <n v="249"/>
  </r>
  <r>
    <n v="43"/>
    <s v="ORD022"/>
    <s v="Luna Spark Anti-Tarnish Ring"/>
    <x v="3"/>
    <s v="30-03-2026"/>
    <n v="1"/>
    <n v="199"/>
    <n v="199"/>
  </r>
  <r>
    <n v="44"/>
    <s v="ORD022"/>
    <s v="Daily Glow Anti-Tarnish Earrings"/>
    <x v="0"/>
    <s v="30-03-2026"/>
    <n v="1"/>
    <n v="175"/>
    <n v="175"/>
  </r>
  <r>
    <n v="45"/>
    <s v="ORD023"/>
    <s v="Royal Bloom Adjustable Ring"/>
    <x v="3"/>
    <s v="31-03-2026"/>
    <n v="1"/>
    <n v="249"/>
    <n v="249"/>
  </r>
  <r>
    <n v="46"/>
    <s v="ORD024"/>
    <s v="Golden Monarch Anti-Tarnish Bangle"/>
    <x v="1"/>
    <s v="01-04-2026"/>
    <n v="1"/>
    <n v="299"/>
    <n v="299"/>
  </r>
  <r>
    <n v="47"/>
    <s v="ORD024"/>
    <s v="Honey Pop Anti-Tarnish Earrings"/>
    <x v="0"/>
    <s v="01-04-2026"/>
    <n v="1"/>
    <n v="120"/>
    <n v="120"/>
  </r>
  <r>
    <n v="48"/>
    <s v="ORD024"/>
    <s v="Crystal Charm Ring"/>
    <x v="3"/>
    <s v="01-04-2026"/>
    <n v="1"/>
    <n v="225"/>
    <n v="225"/>
  </r>
  <r>
    <n v="49"/>
    <s v="ORD025"/>
    <s v="Vanki Glow Star Studs"/>
    <x v="0"/>
    <s v="02-04-2026"/>
    <n v="2"/>
    <n v="175"/>
    <n v="350"/>
  </r>
  <r>
    <n v="50"/>
    <s v="ORD025"/>
    <s v="Luna Spark Anti-Tarnish Ring"/>
    <x v="3"/>
    <s v="02-04-2026"/>
    <n v="1"/>
    <n v="199"/>
    <n v="199"/>
  </r>
  <r>
    <n v="51"/>
    <s v="ORD026"/>
    <s v="Eternal Shine Ring"/>
    <x v="3"/>
    <s v="03-04-2026"/>
    <n v="1"/>
    <n v="279"/>
    <n v="279"/>
  </r>
  <r>
    <n v="52"/>
    <s v="ORD027"/>
    <s v="Orchid Bloom Anti-Tarnish Bangle"/>
    <x v="1"/>
    <s v="04-04-2026"/>
    <n v="1"/>
    <n v="399"/>
    <n v="399"/>
  </r>
  <r>
    <n v="53"/>
    <s v="ORD027"/>
    <s v="Glow fly Anti-Tarnish Stud"/>
    <x v="0"/>
    <s v="04-04-2026"/>
    <n v="1"/>
    <n v="99"/>
    <n v="99"/>
  </r>
  <r>
    <n v="54"/>
    <s v="ORD027"/>
    <s v="Crystal Charm Ring"/>
    <x v="3"/>
    <s v="04-04-2026"/>
    <n v="1"/>
    <n v="225"/>
    <n v="225"/>
  </r>
  <r>
    <n v="55"/>
    <s v="ORD028"/>
    <s v="Starlit Anti-Tarnish Huggie Earrings"/>
    <x v="0"/>
    <s v="05-04-2026"/>
    <n v="1"/>
    <n v="299"/>
    <n v="299"/>
  </r>
  <r>
    <n v="56"/>
    <s v="ORD028"/>
    <s v="Royal Bloom Adjustable Ring"/>
    <x v="3"/>
    <s v="05-04-2026"/>
    <n v="1"/>
    <n v="249"/>
    <n v="249"/>
  </r>
  <r>
    <n v="57"/>
    <s v="ORD029"/>
    <s v="Luna Spark Anti-Tarnish Ring"/>
    <x v="3"/>
    <s v="06-04-2026"/>
    <n v="2"/>
    <n v="199"/>
    <n v="398"/>
  </r>
  <r>
    <n v="58"/>
    <s v="ORD030"/>
    <s v="Shine Shield Anti-Tarnish Bangle"/>
    <x v="1"/>
    <s v="07-04-2026"/>
    <n v="1"/>
    <n v="449"/>
    <n v="449"/>
  </r>
  <r>
    <n v="59"/>
    <s v="ORD030"/>
    <s v="Zenith Spark Anti-Tarnish Earrings"/>
    <x v="0"/>
    <s v="07-04-2026"/>
    <n v="1"/>
    <n v="175"/>
    <n v="175"/>
  </r>
  <r>
    <n v="60"/>
    <s v="ORD030"/>
    <s v="Eternal Shine Ring"/>
    <x v="3"/>
    <s v="07-04-2026"/>
    <n v="1"/>
    <n v="279"/>
    <n v="279"/>
  </r>
  <r>
    <n v="61"/>
    <s v="ORD031"/>
    <s v="Celestial Trinity Non Tarnish Chain Pendant"/>
    <x v="2"/>
    <s v="08-04-2026"/>
    <n v="1"/>
    <n v="175"/>
    <n v="175"/>
  </r>
  <r>
    <n v="62"/>
    <s v="ORD031"/>
    <s v="Crystal Charm Ring"/>
    <x v="3"/>
    <s v="08-04-2026"/>
    <n v="1"/>
    <n v="225"/>
    <n v="225"/>
  </r>
  <r>
    <n v="63"/>
    <s v="ORD032"/>
    <s v="Non-Tarnish Eterna Band"/>
    <x v="1"/>
    <s v="09-04-2026"/>
    <n v="1"/>
    <n v="249"/>
    <n v="249"/>
  </r>
  <r>
    <n v="64"/>
    <s v="ORD032"/>
    <s v="Lume Wear Non-Tarnish Bangle"/>
    <x v="1"/>
    <s v="09-04-2026"/>
    <n v="1"/>
    <n v="349"/>
    <n v="349"/>
  </r>
  <r>
    <n v="65"/>
    <s v="ORD033"/>
    <s v="Vanki Glow Mood Anti-Tarnish Earrings"/>
    <x v="0"/>
    <s v="10-04-2026"/>
    <n v="1"/>
    <n v="350"/>
    <n v="350"/>
  </r>
  <r>
    <n v="66"/>
    <s v="ORD033"/>
    <s v="Vanki Prism Shine Anti-Tarnish Earrings"/>
    <x v="0"/>
    <s v="10-04-2026"/>
    <n v="1"/>
    <n v="275"/>
    <n v="275"/>
  </r>
  <r>
    <n v="67"/>
    <s v="ORD033"/>
    <s v="Vanki Golden Dragonfly Anti-Tarnish Ear Cuff"/>
    <x v="0"/>
    <s v="10-04-2026"/>
    <n v="1"/>
    <n v="299"/>
    <n v="299"/>
  </r>
  <r>
    <n v="68"/>
    <s v="ORD034"/>
    <s v="Shine Aura Non-Tarnish Bangle"/>
    <x v="1"/>
    <s v="11-04-2026"/>
    <n v="1"/>
    <n v="249"/>
    <n v="249"/>
  </r>
  <r>
    <n v="69"/>
    <s v="ORD034"/>
    <s v="Pure Luxe Non-Tarnish Bangle"/>
    <x v="1"/>
    <s v="11-04-2026"/>
    <n v="1"/>
    <n v="349"/>
    <n v="349"/>
  </r>
  <r>
    <n v="70"/>
    <s v="ORD035"/>
    <s v="Glow fly Anti-Tarnish Stud"/>
    <x v="0"/>
    <s v="12-04-2026"/>
    <n v="1"/>
    <n v="99"/>
    <n v="99"/>
  </r>
  <r>
    <n v="71"/>
    <s v="ORD036"/>
    <s v="Non-Tarnish Perma Shine Bangle"/>
    <x v="1"/>
    <s v="13-04-2026"/>
    <n v="1"/>
    <n v="249"/>
    <n v="249"/>
  </r>
  <r>
    <n v="72"/>
    <s v="ORD037"/>
    <s v="Ever Glow Non-Tarnish Bangle"/>
    <x v="1"/>
    <s v="14-04-2026"/>
    <n v="1"/>
    <n v="249"/>
    <n v="249"/>
  </r>
  <r>
    <n v="73"/>
    <s v="ORD037"/>
    <s v="Vanki Tide Spark Tarnish proof Studs"/>
    <x v="0"/>
    <s v="14-04-2026"/>
    <n v="1"/>
    <n v="125"/>
    <n v="125"/>
  </r>
  <r>
    <n v="74"/>
    <s v="ORD037"/>
    <s v="The Tangled Heart - Golden Adjustable Ring"/>
    <x v="3"/>
    <s v="14-04-2026"/>
    <n v="1"/>
    <n v="50"/>
    <n v="50"/>
  </r>
  <r>
    <n v="75"/>
    <s v="ORD038"/>
    <s v="Vanki Twirl Charm Chain Pendant"/>
    <x v="2"/>
    <s v="15-04-2026"/>
    <n v="1"/>
    <n v="199"/>
    <n v="199"/>
  </r>
  <r>
    <n v="76"/>
    <s v="ORD039"/>
    <s v="Lume Wear Non-Tarnish Bangle"/>
    <x v="1"/>
    <s v="16-04-2026"/>
    <n v="1"/>
    <n v="349"/>
    <n v="349"/>
  </r>
  <r>
    <n v="77"/>
    <s v="ORD040"/>
    <s v="Elegance Unbound Anti-Tarnish Bangle"/>
    <x v="1"/>
    <s v="17-04-2026"/>
    <n v="1"/>
    <n v="299"/>
    <n v="299"/>
  </r>
  <r>
    <n v="78"/>
    <s v="ORD040"/>
    <s v="Vanki Spark Anti-Tarnish Earrings"/>
    <x v="0"/>
    <s v="17-04-2026"/>
    <n v="1"/>
    <n v="275"/>
    <n v="275"/>
  </r>
  <r>
    <n v="79"/>
    <s v="ORD040"/>
    <s v="Wings of Fortune Anti-Tarnish Bangle"/>
    <x v="1"/>
    <s v="17-04-2026"/>
    <n v="1"/>
    <n v="199"/>
    <n v="199"/>
  </r>
  <r>
    <n v="80"/>
    <s v="ORD041"/>
    <s v="Vanki Golden Dragonfly Anti-Tarnish Ear Cuff"/>
    <x v="0"/>
    <s v="18-04-2026"/>
    <n v="1"/>
    <n v="299"/>
    <n v="299"/>
  </r>
  <r>
    <n v="81"/>
    <s v="ORD041"/>
    <s v="Anti-Tarnish Infinite Shine Drop"/>
    <x v="0"/>
    <s v="18-04-2026"/>
    <n v="1"/>
    <n v="199"/>
    <n v="199"/>
  </r>
  <r>
    <n v="82"/>
    <s v="ORD041"/>
    <s v="Vanki Radiance Pendant with Pendant set"/>
    <x v="2"/>
    <s v="18-04-2026"/>
    <n v="1"/>
    <n v="199"/>
    <n v="199"/>
  </r>
  <r>
    <n v="83"/>
    <s v="ORD042"/>
    <s v="Pure Luxe Non-Tarnish Bangle"/>
    <x v="1"/>
    <s v="19-04-2026"/>
    <n v="1"/>
    <n v="349"/>
    <n v="349"/>
  </r>
  <r>
    <n v="84"/>
    <s v="ORD042"/>
    <s v="Luna Spark Anti-Tarnish Ring"/>
    <x v="3"/>
    <s v="19-04-2026"/>
    <n v="1"/>
    <n v="199"/>
    <n v="199"/>
  </r>
  <r>
    <n v="85"/>
    <s v="ORD043"/>
    <s v="Vanki Spark Anti-Tarnish Earrings"/>
    <x v="0"/>
    <s v="20-04-2026"/>
    <n v="2"/>
    <n v="275"/>
    <n v="550"/>
  </r>
  <r>
    <n v="86"/>
    <s v="ORD044"/>
    <s v="Ever Glow Non-Tarnish Bangle"/>
    <x v="1"/>
    <s v="21-04-2026"/>
    <n v="1"/>
    <n v="249"/>
    <n v="249"/>
  </r>
  <r>
    <n v="87"/>
    <s v="ORD044"/>
    <s v="Crystal Charm Ring"/>
    <x v="3"/>
    <s v="21-04-2026"/>
    <n v="1"/>
    <n v="225"/>
    <n v="225"/>
  </r>
  <r>
    <n v="88"/>
    <s v="ORD044"/>
    <s v="Honey Pop Anti-Tarnish Earrings"/>
    <x v="0"/>
    <s v="21-04-2026"/>
    <n v="1"/>
    <n v="120"/>
    <n v="120"/>
  </r>
  <r>
    <n v="89"/>
    <s v="ORD045"/>
    <s v="Vanki Twirl Charm Chain Pendant"/>
    <x v="2"/>
    <s v="22-04-2026"/>
    <n v="1"/>
    <n v="199"/>
    <n v="199"/>
  </r>
  <r>
    <n v="90"/>
    <s v="ORD045"/>
    <s v="Glow fly Anti-Tarnish Stud"/>
    <x v="0"/>
    <s v="22-04-2026"/>
    <n v="1"/>
    <n v="99"/>
    <n v="99"/>
  </r>
  <r>
    <n v="91"/>
    <s v="ORD046"/>
    <s v="The Tangled Heart - Golden Adjustable Ring"/>
    <x v="3"/>
    <s v="23-04-2026"/>
    <n v="2"/>
    <n v="50"/>
    <n v="100"/>
  </r>
  <r>
    <n v="92"/>
    <s v="ORD047"/>
    <s v="Wings of Fortune Anti-Tarnish Bangle"/>
    <x v="1"/>
    <s v="24-04-2026"/>
    <n v="1"/>
    <n v="199"/>
    <n v="199"/>
  </r>
  <r>
    <n v="93"/>
    <s v="ORD047"/>
    <s v="Vanki Prism Shine Anti-Tarnish Earrings"/>
    <x v="0"/>
    <s v="24-04-2026"/>
    <n v="1"/>
    <n v="275"/>
    <n v="275"/>
  </r>
  <r>
    <n v="94"/>
    <s v="ORD047"/>
    <s v="Royal Bloom Adjustable Ring"/>
    <x v="3"/>
    <s v="24-04-2026"/>
    <n v="1"/>
    <n v="249"/>
    <n v="249"/>
  </r>
  <r>
    <n v="95"/>
    <s v="ORD048"/>
    <s v="Anti-Tarnish Infinite Shine Drop"/>
    <x v="0"/>
    <s v="25-04-2026"/>
    <n v="1"/>
    <n v="199"/>
    <n v="199"/>
  </r>
  <r>
    <n v="96"/>
    <s v="ORD048"/>
    <s v="Non-Tarnish Eterna Band"/>
    <x v="1"/>
    <s v="25-04-2026"/>
    <n v="1"/>
    <n v="249"/>
    <n v="249"/>
  </r>
  <r>
    <n v="97"/>
    <s v="ORD049"/>
    <s v="Vanki Radiance Pendant with Pendant set"/>
    <x v="2"/>
    <s v="25-04-2026"/>
    <n v="1"/>
    <n v="199"/>
    <n v="199"/>
  </r>
  <r>
    <n v="98"/>
    <s v="ORD049"/>
    <s v="Daily Glow Anti-Tarnish Earrings"/>
    <x v="0"/>
    <s v="25-04-2026"/>
    <n v="1"/>
    <n v="175"/>
    <n v="175"/>
  </r>
  <r>
    <n v="99"/>
    <s v="ORD049"/>
    <s v="Luna Spark Anti-Tarnish Ring"/>
    <x v="3"/>
    <s v="25-04-2026"/>
    <n v="1"/>
    <n v="199"/>
    <n v="199"/>
  </r>
  <r>
    <n v="100"/>
    <s v="ORD050"/>
    <s v="Elegance Unbound Anti-Tarnish Bangle"/>
    <x v="1"/>
    <s v="26-04-2026"/>
    <n v="1"/>
    <n v="299"/>
    <n v="299"/>
  </r>
  <r>
    <n v="101"/>
    <s v="ORD051"/>
    <s v="Vanki Golden Dragonfly Anti-Tarnish Ear Cuff"/>
    <x v="0"/>
    <s v="26-04-2026"/>
    <n v="1"/>
    <n v="299"/>
    <n v="299"/>
  </r>
  <r>
    <n v="102"/>
    <s v="ORD051"/>
    <s v="Eternal Shine Ring"/>
    <x v="3"/>
    <s v="26-04-2026"/>
    <n v="1"/>
    <n v="279"/>
    <n v="279"/>
  </r>
  <r>
    <n v="103"/>
    <s v="ORD052"/>
    <s v="Glow Bar Anti-Tarnish Chain pendant"/>
    <x v="2"/>
    <s v="27-04-2026"/>
    <n v="1"/>
    <n v="275"/>
    <n v="275"/>
  </r>
  <r>
    <n v="104"/>
    <s v="ORD052"/>
    <s v="Candy Knot Anti-Tarnish Studs"/>
    <x v="0"/>
    <s v="27-04-2026"/>
    <n v="1"/>
    <n v="125"/>
    <n v="125"/>
  </r>
  <r>
    <n v="105"/>
    <s v="ORD053"/>
    <s v="Velour Rose Chain Pendant"/>
    <x v="2"/>
    <s v="27-04-2026"/>
    <n v="1"/>
    <n v="250"/>
    <n v="250"/>
  </r>
  <r>
    <n v="106"/>
    <s v="ORD054"/>
    <s v="Vanki Anti-Tarnish Wings Bangles"/>
    <x v="1"/>
    <s v="28-04-2026"/>
    <n v="1"/>
    <n v="349"/>
    <n v="349"/>
  </r>
  <r>
    <n v="107"/>
    <s v="ORD055"/>
    <s v="Golden Dots Anti-Tarnish Bangles"/>
    <x v="1"/>
    <s v="29-04-2026"/>
    <n v="1"/>
    <n v="550"/>
    <n v="550"/>
  </r>
  <r>
    <n v="108"/>
    <s v="ORD055"/>
    <s v="Aurora Loop Anti-Tarnish Bangle"/>
    <x v="1"/>
    <s v="29-04-2026"/>
    <n v="1"/>
    <n v="350"/>
    <n v="350"/>
  </r>
  <r>
    <n v="109"/>
    <s v="ORD055"/>
    <s v="Infinite Shine Vanki Anti-Tarnish Drop Earrings"/>
    <x v="0"/>
    <s v="29-04-2026"/>
    <n v="1"/>
    <n v="175"/>
    <n v="175"/>
  </r>
  <r>
    <n v="110"/>
    <s v="ORD056"/>
    <s v="Lumi Anti-Tarnish Bangles"/>
    <x v="1"/>
    <s v="30-04-2026"/>
    <n v="1"/>
    <n v="349"/>
    <n v="349"/>
  </r>
  <r>
    <n v="111"/>
    <s v="ORD056"/>
    <s v="Candy Knot Anti-Tarnish Studs"/>
    <x v="0"/>
    <s v="30-04-2026"/>
    <n v="1"/>
    <n v="125"/>
    <n v="125"/>
  </r>
  <r>
    <n v="112"/>
    <s v="ORD056"/>
    <s v="Anti-Tarnish Infinite Shine Drop"/>
    <x v="0"/>
    <s v="30-04-2026"/>
    <n v="1"/>
    <n v="199"/>
    <n v="199"/>
  </r>
  <r>
    <n v="113"/>
    <s v="ORD057"/>
    <s v="THE SNOWY LEAVES - EMBELLISHED ROSE GOLD RING"/>
    <x v="3"/>
    <s v="01-05-2026"/>
    <n v="1"/>
    <n v="275"/>
    <n v="275"/>
  </r>
  <r>
    <n v="114"/>
    <s v="ORD057"/>
    <s v="STAINLESS STEEL ANTI-TARNISH GOLDEN RING"/>
    <x v="3"/>
    <s v="01-05-2026"/>
    <n v="1"/>
    <n v="175"/>
    <n v="175"/>
  </r>
  <r>
    <n v="115"/>
    <s v="ORD057"/>
    <s v="Twinkle Babe Anti-Tarnish Studs"/>
    <x v="0"/>
    <s v="01-05-2026"/>
    <n v="1"/>
    <n v="99"/>
    <n v="99"/>
  </r>
  <r>
    <n v="116"/>
    <s v="ORD058"/>
    <s v="Aqua Wave Charm Chain Pendant"/>
    <x v="2"/>
    <s v="01-05-2026"/>
    <n v="1"/>
    <n v="199"/>
    <n v="199"/>
  </r>
  <r>
    <n v="117"/>
    <s v="ORD058"/>
    <s v="Velvet Spark Anti-Tarnish Earrings"/>
    <x v="0"/>
    <s v="01-05-2026"/>
    <n v="1"/>
    <n v="175"/>
    <n v="175"/>
  </r>
  <r>
    <n v="118"/>
    <s v="ORD059"/>
    <s v="Vanki Nova Shine"/>
    <x v="0"/>
    <s v="02-05-2026"/>
    <n v="2"/>
    <n v="175"/>
    <n v="350"/>
  </r>
  <r>
    <n v="119"/>
    <s v="ORD060"/>
    <s v="Zenith Spark Anti-Tarnish Earrings"/>
    <x v="0"/>
    <s v="03-05-2026"/>
    <n v="8"/>
    <n v="175"/>
    <n v="1400"/>
  </r>
  <r>
    <n v="120"/>
    <s v="ORD060"/>
    <s v="Crystal Glow Dots Anti-Tarnish Earrings"/>
    <x v="0"/>
    <s v="03-05-2026"/>
    <n v="1"/>
    <n v="180"/>
    <n v="180"/>
  </r>
  <r>
    <n v="121"/>
    <s v="ORD061"/>
    <s v="Vanki Fly away Anti tarnish Stud"/>
    <x v="0"/>
    <s v="04-05-2026"/>
    <n v="1"/>
    <n v="199"/>
    <n v="199"/>
  </r>
  <r>
    <n v="122"/>
    <s v="ORD061"/>
    <s v="Honey Pop Anti-Tarnish Earrings"/>
    <x v="0"/>
    <s v="04-05-2026"/>
    <n v="1"/>
    <n v="120"/>
    <n v="120"/>
  </r>
  <r>
    <n v="123"/>
    <s v="ORD061"/>
    <s v="Glow Bar Anti-Tarnish Chain pendant"/>
    <x v="2"/>
    <s v="04-05-2026"/>
    <n v="1"/>
    <n v="275"/>
    <n v="275"/>
  </r>
  <r>
    <n v="124"/>
    <s v="ORD062"/>
    <s v="Luna Spark Anti-Tarnish Ring"/>
    <x v="3"/>
    <s v="04-05-2026"/>
    <n v="1"/>
    <n v="199"/>
    <n v="199"/>
  </r>
  <r>
    <n v="125"/>
    <s v="ORD062"/>
    <s v="Velour Rose Chain Pendant"/>
    <x v="2"/>
    <s v="04-05-2026"/>
    <n v="1"/>
    <n v="250"/>
    <n v="250"/>
  </r>
  <r>
    <n v="126"/>
    <s v="ORD063"/>
    <s v="Golden Dots Anti-Tarnish Bangles"/>
    <x v="1"/>
    <s v="05-05-2026"/>
    <n v="1"/>
    <n v="550"/>
    <n v="550"/>
  </r>
  <r>
    <n v="127"/>
    <s v="ORD063"/>
    <s v="Candy Knot Anti-Tarnish Studs"/>
    <x v="0"/>
    <s v="05-05-2026"/>
    <n v="1"/>
    <n v="125"/>
    <n v="125"/>
  </r>
  <r>
    <n v="128"/>
    <s v="ORD063"/>
    <s v="Vanki Nova Shine"/>
    <x v="0"/>
    <s v="05-05-2026"/>
    <n v="1"/>
    <n v="175"/>
    <n v="175"/>
  </r>
  <r>
    <n v="129"/>
    <s v="ORD064"/>
    <s v="Vanki Fly away Anti tarnish Stud"/>
    <x v="0"/>
    <s v="06-05-2026"/>
    <n v="2"/>
    <n v="199"/>
    <n v="398"/>
  </r>
  <r>
    <n v="130"/>
    <s v="ORD065"/>
    <s v="Aqua Wave Charm Chain Pendant"/>
    <x v="2"/>
    <s v="07-05-2026"/>
    <n v="1"/>
    <n v="199"/>
    <n v="199"/>
  </r>
  <r>
    <n v="131"/>
    <s v="ORD065"/>
    <s v="THE SNOWY LEAVES - EMBELLISHED ROSE GOLD RING"/>
    <x v="3"/>
    <s v="07-05-2026"/>
    <n v="1"/>
    <n v="275"/>
    <n v="275"/>
  </r>
  <r>
    <n v="132"/>
    <s v="ORD066"/>
    <s v="Aurora Loop Anti-Tarnish Bangle"/>
    <x v="1"/>
    <s v="07-05-2026"/>
    <n v="1"/>
    <n v="350"/>
    <n v="350"/>
  </r>
  <r>
    <n v="133"/>
    <s v="ORD066"/>
    <s v="Twinkle Babe Anti-Tarnish Studs"/>
    <x v="0"/>
    <s v="07-05-2026"/>
    <n v="1"/>
    <n v="99"/>
    <n v="99"/>
  </r>
  <r>
    <n v="134"/>
    <s v="ORD066"/>
    <s v="Crystal Glow Dots Anti-Tarnish Earrings"/>
    <x v="0"/>
    <s v="07-05-2026"/>
    <n v="1"/>
    <n v="180"/>
    <n v="180"/>
  </r>
  <r>
    <n v="135"/>
    <s v="ORD067"/>
    <s v="STAINLESS STEEL ANTI-TARNISH GOLDEN RING"/>
    <x v="3"/>
    <s v="08-05-2026"/>
    <n v="1"/>
    <n v="175"/>
    <n v="175"/>
  </r>
  <r>
    <n v="136"/>
    <s v="ORD068"/>
    <s v="Vanki Anti-Tarnish Wings Bangles"/>
    <x v="1"/>
    <s v="09-05-2026"/>
    <n v="1"/>
    <n v="349"/>
    <n v="349"/>
  </r>
  <r>
    <n v="137"/>
    <s v="ORD068"/>
    <s v="Glow Bar Anti-Tarnish Chain pendant"/>
    <x v="2"/>
    <s v="09-05-2026"/>
    <n v="1"/>
    <n v="275"/>
    <n v="275"/>
  </r>
  <r>
    <n v="138"/>
    <s v="ORD069"/>
    <s v="Lumi Anti-Tarnish Bangles"/>
    <x v="1"/>
    <s v="09-05-2026"/>
    <n v="1"/>
    <n v="349"/>
    <n v="349"/>
  </r>
  <r>
    <n v="139"/>
    <s v="ORD069"/>
    <s v="Velvet Spark Anti-Tarnish Earrings"/>
    <x v="0"/>
    <s v="09-05-2026"/>
    <n v="1"/>
    <n v="175"/>
    <n v="175"/>
  </r>
  <r>
    <n v="140"/>
    <s v="ORD069"/>
    <s v="Crystal Charm Ring"/>
    <x v="3"/>
    <s v="09-05-2026"/>
    <n v="1"/>
    <n v="225"/>
    <n v="225"/>
  </r>
  <r>
    <n v="141"/>
    <s v="ORD070"/>
    <s v="Vanki Nova Shine"/>
    <x v="0"/>
    <s v="10-05-2026"/>
    <n v="1"/>
    <n v="175"/>
    <n v="175"/>
  </r>
  <r>
    <n v="142"/>
    <s v="ORD071"/>
    <s v="Infinite Shine Vanki Anti-Tarnish Drop Earrings"/>
    <x v="0"/>
    <s v="10-05-2026"/>
    <n v="1"/>
    <n v="175"/>
    <n v="175"/>
  </r>
  <r>
    <n v="143"/>
    <s v="ORD071"/>
    <s v="Non-Tarnish Perma Shine Bangle"/>
    <x v="1"/>
    <s v="10-05-2026"/>
    <n v="1"/>
    <n v="249"/>
    <n v="249"/>
  </r>
  <r>
    <n v="144"/>
    <s v="ORD071"/>
    <s v="Royal Bloom Adjustable Ring"/>
    <x v="3"/>
    <s v="10-05-2026"/>
    <n v="1"/>
    <n v="249"/>
    <n v="249"/>
  </r>
  <r>
    <n v="145"/>
    <s v="ORD072"/>
    <s v="Mystic Wing Anti-Tarnish Earrings"/>
    <x v="0"/>
    <s v="11-05-2026"/>
    <n v="1"/>
    <n v="199"/>
    <n v="199"/>
  </r>
  <r>
    <n v="146"/>
    <s v="ORD072"/>
    <s v="Halo Gleam Anti-Tarnish Bangles"/>
    <x v="1"/>
    <s v="11-05-2026"/>
    <n v="1"/>
    <n v="399"/>
    <n v="399"/>
  </r>
  <r>
    <n v="147"/>
    <s v="ORD073"/>
    <s v="Vanki Nova Anti-Tarnish Bangle"/>
    <x v="1"/>
    <s v="11-05-2026"/>
    <n v="1"/>
    <n v="215"/>
    <n v="215"/>
  </r>
  <r>
    <n v="148"/>
    <s v="ORD073"/>
    <s v="SCULPTED OPEN GOLDEN RING"/>
    <x v="3"/>
    <s v="11-05-2026"/>
    <n v="1"/>
    <n v="249"/>
    <n v="249"/>
  </r>
  <r>
    <n v="149"/>
    <s v="ORD074"/>
    <s v="Luminous Loop Anti-Tarnish Bangle"/>
    <x v="1"/>
    <s v="12-05-2026"/>
    <n v="2"/>
    <n v="299"/>
    <n v="598"/>
  </r>
  <r>
    <n v="150"/>
    <s v="ORD074"/>
    <s v="Vanki Prism Shine Anti-Tarnish Earrings"/>
    <x v="0"/>
    <s v="12-05-2026"/>
    <n v="1"/>
    <n v="275"/>
    <n v="275"/>
  </r>
  <r>
    <n v="151"/>
    <s v="ORD075"/>
    <s v="Vanki Anti-Tarnish Radiant Drop"/>
    <x v="0"/>
    <s v="12-05-2026"/>
    <n v="1"/>
    <n v="499"/>
    <n v="499"/>
  </r>
  <r>
    <n v="152"/>
    <s v="ORD075"/>
    <s v="Anti-Tarnish Infinite Shine Drop"/>
    <x v="0"/>
    <s v="12-05-2026"/>
    <n v="1"/>
    <n v="199"/>
    <n v="199"/>
  </r>
  <r>
    <n v="153"/>
    <s v="ORD076"/>
    <s v="Non-Tarnish Eterna Band"/>
    <x v="1"/>
    <s v="13-05-2026"/>
    <n v="1"/>
    <n v="249"/>
    <n v="249"/>
  </r>
  <r>
    <n v="154"/>
    <s v="ORD076"/>
    <s v="WAVY STAINLESS STEEL ANTI-TARNISH RING"/>
    <x v="3"/>
    <s v="13-05-2026"/>
    <n v="1"/>
    <n v="150"/>
    <n v="150"/>
  </r>
  <r>
    <n v="155"/>
    <s v="ORD076"/>
    <s v="Bamboo Bliss Non-Tarnish Bangle"/>
    <x v="1"/>
    <s v="13-05-2026"/>
    <n v="1"/>
    <n v="375"/>
    <n v="375"/>
  </r>
  <r>
    <n v="156"/>
    <s v="ORD077"/>
    <s v="Non-Tarnish Golden Zenith Bangles"/>
    <x v="1"/>
    <s v="13-05-2026"/>
    <n v="1"/>
    <n v="275"/>
    <n v="275"/>
  </r>
  <r>
    <n v="157"/>
    <s v="ORD077"/>
    <s v="Lustrous Legacy Anti-Tarnish Bangles"/>
    <x v="1"/>
    <s v="13-05-2026"/>
    <n v="1"/>
    <n v="199"/>
    <n v="199"/>
  </r>
  <r>
    <n v="158"/>
    <s v="ORD077"/>
    <s v="Vanki Anti-Tarnish Radiant Drop"/>
    <x v="0"/>
    <s v="13-05-2026"/>
    <n v="1"/>
    <n v="499"/>
    <n v="499"/>
  </r>
  <r>
    <n v="159"/>
    <s v="ORD078"/>
    <s v="Vanki Nova Anti-Tarnish Earrings"/>
    <x v="0"/>
    <s v="14-05-2026"/>
    <n v="1"/>
    <n v="275"/>
    <n v="275"/>
  </r>
  <r>
    <n v="160"/>
    <s v="ORD079"/>
    <s v="Little Luxe Anti-Tarnish Stud"/>
    <x v="0"/>
    <s v="14-05-2026"/>
    <n v="3"/>
    <n v="175"/>
    <n v="525"/>
  </r>
  <r>
    <n v="161"/>
    <s v="ORD079"/>
    <s v="Vanki Skybird Chain with Pendant"/>
    <x v="2"/>
    <s v="14-05-2026"/>
    <n v="1"/>
    <n v="199"/>
    <n v="199"/>
  </r>
  <r>
    <n v="162"/>
    <s v="ORD079"/>
    <s v="BUTTERFLY TWIST RING"/>
    <x v="3"/>
    <s v="14-05-2026"/>
    <n v="1"/>
    <n v="75"/>
    <n v="75"/>
  </r>
  <r>
    <n v="163"/>
    <s v="ORD080"/>
    <s v="GOLDEN STATEMENT RING"/>
    <x v="3"/>
    <s v="15-05-2026"/>
    <n v="1"/>
    <n v="249"/>
    <n v="249"/>
  </r>
  <r>
    <n v="164"/>
    <s v="ORD080"/>
    <s v="Elegance Unbound Anti-Tarnish Bangle"/>
    <x v="1"/>
    <s v="15-05-2026"/>
    <n v="1"/>
    <n v="299"/>
    <n v="299"/>
  </r>
  <r>
    <n v="165"/>
    <s v="ORD080"/>
    <s v="Crown Jewel Drops"/>
    <x v="0"/>
    <s v="15-05-2026"/>
    <n v="1"/>
    <n v="225"/>
    <n v="225"/>
  </r>
  <r>
    <n v="166"/>
    <s v="ORD081"/>
    <s v="Bamboo Bliss Non-Tarnish Bangle"/>
    <x v="1"/>
    <s v="15-05-2026"/>
    <n v="1"/>
    <n v="375"/>
    <n v="375"/>
  </r>
  <r>
    <n v="167"/>
    <s v="ORD081"/>
    <s v="Mystic Wing Anti-Tarnish Earrings"/>
    <x v="0"/>
    <s v="15-05-2026"/>
    <n v="1"/>
    <n v="199"/>
    <n v="199"/>
  </r>
  <r>
    <n v="168"/>
    <s v="ORD082"/>
    <s v="Vanki Nova Anti-Tarnish Earrings"/>
    <x v="0"/>
    <s v="16-05-2026"/>
    <n v="2"/>
    <n v="275"/>
    <n v="550"/>
  </r>
  <r>
    <n v="169"/>
    <s v="ORD083"/>
    <s v="Lustrous Legacy Anti-Tarnish Bangles"/>
    <x v="1"/>
    <s v="16-05-2026"/>
    <n v="1"/>
    <n v="199"/>
    <n v="199"/>
  </r>
  <r>
    <n v="170"/>
    <s v="ORD083"/>
    <s v="Crown Jewel Drops"/>
    <x v="0"/>
    <s v="16-05-2026"/>
    <n v="1"/>
    <n v="225"/>
    <n v="225"/>
  </r>
  <r>
    <n v="171"/>
    <s v="ORD083"/>
    <s v="SCULPTED OPEN GOLDEN RING"/>
    <x v="3"/>
    <s v="16-05-2026"/>
    <n v="1"/>
    <n v="249"/>
    <n v="249"/>
  </r>
  <r>
    <n v="172"/>
    <s v="ORD084"/>
    <s v="Vanki Skybird Chain with Pendant"/>
    <x v="2"/>
    <s v="17-05-2026"/>
    <n v="1"/>
    <n v="199"/>
    <n v="199"/>
  </r>
  <r>
    <n v="173"/>
    <s v="ORD084"/>
    <s v="Little Luxe Anti-Tarnish Stud"/>
    <x v="0"/>
    <s v="17-05-2026"/>
    <n v="2"/>
    <n v="175"/>
    <n v="350"/>
  </r>
  <r>
    <n v="174"/>
    <s v="ORD085"/>
    <s v="GOLDEN STATEMENT RING"/>
    <x v="3"/>
    <s v="17-05-2026"/>
    <n v="1"/>
    <n v="249"/>
    <n v="249"/>
  </r>
  <r>
    <n v="175"/>
    <s v="ORD086"/>
    <s v="Halo Gleam Anti-Tarnish Bangles"/>
    <x v="1"/>
    <s v="18-05-2026"/>
    <n v="1"/>
    <n v="399"/>
    <n v="399"/>
  </r>
  <r>
    <n v="176"/>
    <s v="ORD086"/>
    <s v="Vanki Anti-Tarnish Radiant Drop"/>
    <x v="0"/>
    <s v="18-05-2026"/>
    <n v="1"/>
    <n v="499"/>
    <n v="499"/>
  </r>
  <r>
    <n v="177"/>
    <s v="ORD086"/>
    <s v="BUTTERFLY TWIST RING"/>
    <x v="3"/>
    <s v="18-05-2026"/>
    <n v="1"/>
    <n v="75"/>
    <n v="75"/>
  </r>
  <r>
    <n v="178"/>
    <s v="ORD087"/>
    <s v="Non-Tarnish Golden Zenith Bangles"/>
    <x v="1"/>
    <s v="18-05-2026"/>
    <n v="1"/>
    <n v="275"/>
    <n v="275"/>
  </r>
  <r>
    <n v="179"/>
    <s v="ORD087"/>
    <s v="Vanki Nova Shine"/>
    <x v="0"/>
    <s v="18-05-2026"/>
    <n v="1"/>
    <n v="175"/>
    <n v="175"/>
  </r>
  <r>
    <n v="180"/>
    <s v="ORD088"/>
    <s v="WAVY STAINLESS STEEL ANTI-TARNISH RING"/>
    <x v="3"/>
    <s v="19-05-2026"/>
    <n v="2"/>
    <n v="150"/>
    <n v="300"/>
  </r>
  <r>
    <n v="181"/>
    <s v="ORD089"/>
    <s v="Luminous Loop Anti-Tarnish Bangle"/>
    <x v="1"/>
    <s v="19-05-2026"/>
    <n v="1"/>
    <n v="299"/>
    <n v="299"/>
  </r>
  <r>
    <n v="182"/>
    <s v="ORD089"/>
    <s v="Mystic Wing Anti-Tarnish Earrings"/>
    <x v="0"/>
    <s v="19-05-2026"/>
    <n v="1"/>
    <n v="199"/>
    <n v="199"/>
  </r>
  <r>
    <n v="183"/>
    <s v="ORD089"/>
    <s v="Vanki Skybird Chain with Pendant"/>
    <x v="2"/>
    <s v="19-05-2026"/>
    <n v="1"/>
    <n v="199"/>
    <n v="199"/>
  </r>
  <r>
    <n v="184"/>
    <s v="ORD090"/>
    <s v="Crown Jewel Drops"/>
    <x v="0"/>
    <s v="20-05-2026"/>
    <n v="1"/>
    <n v="225"/>
    <n v="225"/>
  </r>
  <r>
    <n v="185"/>
    <s v="ORD090"/>
    <s v="Bamboo Bliss Non-Tarnish Bangle"/>
    <x v="1"/>
    <s v="20-05-2026"/>
    <n v="1"/>
    <n v="375"/>
    <n v="375"/>
  </r>
  <r>
    <n v="186"/>
    <s v="ORD091"/>
    <s v="Non-Tarnish Perma Shine Bangle"/>
    <x v="1"/>
    <s v="20-05-2026"/>
    <n v="1"/>
    <n v="249"/>
    <n v="249"/>
  </r>
  <r>
    <n v="187"/>
    <s v="ORD091"/>
    <s v="Golden Monarch Anti-Tarnish Bangle"/>
    <x v="1"/>
    <s v="20-05-2026"/>
    <n v="1"/>
    <n v="299"/>
    <n v="299"/>
  </r>
  <r>
    <n v="188"/>
    <s v="ORD092"/>
    <s v="Golden Adjustable Ring"/>
    <x v="3"/>
    <s v="21-05-2026"/>
    <n v="1"/>
    <n v="149"/>
    <n v="149"/>
  </r>
  <r>
    <n v="189"/>
    <s v="ORD092"/>
    <s v="Starlet Anti-Tarnish Studs"/>
    <x v="0"/>
    <s v="21-05-2026"/>
    <n v="1"/>
    <n v="299"/>
    <n v="299"/>
  </r>
  <r>
    <n v="190"/>
    <s v="ORD092"/>
    <s v="Halo Gleam Anti-Tarnish Bangles"/>
    <x v="1"/>
    <s v="21-05-2026"/>
    <n v="1"/>
    <n v="399"/>
    <n v="399"/>
  </r>
  <r>
    <n v="191"/>
    <s v="ORD093"/>
    <s v="Aurora Loop Anti-Tarnish Bangles"/>
    <x v="1"/>
    <s v="22-05-2026"/>
    <n v="1"/>
    <n v="475"/>
    <n v="475"/>
  </r>
  <r>
    <n v="192"/>
    <s v="ORD093"/>
    <s v="Vanki Anti-Tarnish Wings Bangles"/>
    <x v="1"/>
    <s v="22-05-2026"/>
    <n v="1"/>
    <n v="349"/>
    <n v="349"/>
  </r>
  <r>
    <n v="193"/>
    <s v="ORD094"/>
    <s v="Vanki Fly away Anti tarnish Stud"/>
    <x v="0"/>
    <s v="23-05-2026"/>
    <n v="1"/>
    <n v="199"/>
    <n v="199"/>
  </r>
  <r>
    <n v="194"/>
    <s v="ORD094"/>
    <s v="Vanki Nova Anti-Tarnish Bangle"/>
    <x v="1"/>
    <s v="23-05-2026"/>
    <n v="1"/>
    <n v="215"/>
    <n v="215"/>
  </r>
  <r>
    <n v="195"/>
    <s v="ORD094"/>
    <s v="EMBELLISHED ROSE GOLD RING"/>
    <x v="3"/>
    <s v="23-05-2026"/>
    <n v="1"/>
    <n v="149"/>
    <n v="149"/>
  </r>
  <r>
    <n v="196"/>
    <s v="ORD095"/>
    <s v="Vanki Radiance Pendant with Pendant set"/>
    <x v="2"/>
    <s v="24-05-2026"/>
    <n v="2"/>
    <n v="199"/>
    <n v="398"/>
  </r>
  <r>
    <n v="197"/>
    <s v="ORD096"/>
    <s v="Non-Tarnish Perma Shine Bangle"/>
    <x v="1"/>
    <s v="25-05-2026"/>
    <n v="1"/>
    <n v="249"/>
    <n v="249"/>
  </r>
  <r>
    <n v="198"/>
    <s v="ORD097"/>
    <s v="SILVER-PLATED ANTI-TARNISH ANXIETY SPINNING RING INLAID WITH CUBIC ZICRONIA STONES"/>
    <x v="3"/>
    <s v="26-05-2026"/>
    <n v="1"/>
    <n v="249"/>
    <n v="249"/>
  </r>
  <r>
    <n v="199"/>
    <s v="ORD097"/>
    <s v="ENAMELLED GOLD RING"/>
    <x v="3"/>
    <s v="26-05-2026"/>
    <n v="1"/>
    <n v="249"/>
    <n v="249"/>
  </r>
  <r>
    <n v="200"/>
    <s v="ORD097"/>
    <s v="Vanki Non-Tarnish Evil Eye Bangles"/>
    <x v="1"/>
    <s v="26-05-2026"/>
    <n v="1"/>
    <n v="349"/>
    <n v="349"/>
  </r>
  <r>
    <n v="201"/>
    <s v="ORD098"/>
    <s v="Pure Luxe Non-Tarnish Bangle"/>
    <x v="1"/>
    <s v="27-05-2026"/>
    <n v="2"/>
    <n v="349"/>
    <n v="698"/>
  </r>
  <r>
    <n v="202"/>
    <s v="ORD098"/>
    <s v="Ever Glow Non-Tarnish Bangle"/>
    <x v="1"/>
    <s v="27-05-2026"/>
    <n v="1"/>
    <n v="249"/>
    <n v="249"/>
  </r>
  <r>
    <n v="203"/>
    <s v="ORD099"/>
    <s v="Non-Tarnish Golden Zenith Bangles"/>
    <x v="1"/>
    <s v="28-05-2026"/>
    <n v="1"/>
    <n v="275"/>
    <n v="275"/>
  </r>
  <r>
    <n v="204"/>
    <s v="ORD100"/>
    <s v="Sweet Twinkle Anti-Tarnish Earrings"/>
    <x v="0"/>
    <s v="29-05-2026"/>
    <n v="1"/>
    <n v="299"/>
    <n v="2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0"/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n v="1"/>
    <n v="175"/>
  </r>
  <r>
    <n v="1"/>
    <n v="249"/>
  </r>
  <r>
    <n v="1"/>
    <n v="399"/>
  </r>
  <r>
    <n v="1"/>
    <n v="399"/>
  </r>
  <r>
    <n v="3"/>
    <n v="175"/>
  </r>
  <r>
    <n v="1"/>
    <n v="299"/>
  </r>
  <r>
    <n v="1"/>
    <n v="249"/>
  </r>
  <r>
    <n v="1"/>
    <n v="125"/>
  </r>
  <r>
    <n v="1"/>
    <n v="249"/>
  </r>
  <r>
    <n v="1"/>
    <n v="125"/>
  </r>
  <r>
    <n v="1"/>
    <n v="449"/>
  </r>
  <r>
    <n v="1"/>
    <n v="299"/>
  </r>
  <r>
    <n v="1"/>
    <n v="175"/>
  </r>
  <r>
    <n v="1"/>
    <n v="99"/>
  </r>
  <r>
    <n v="1"/>
    <n v="249"/>
  </r>
  <r>
    <n v="1"/>
    <n v="299"/>
  </r>
  <r>
    <n v="1"/>
    <n v="349"/>
  </r>
  <r>
    <n v="1"/>
    <n v="175"/>
  </r>
  <r>
    <n v="1"/>
    <n v="125"/>
  </r>
  <r>
    <n v="1"/>
    <n v="120"/>
  </r>
  <r>
    <n v="1"/>
    <n v="249"/>
  </r>
  <r>
    <n v="1"/>
    <n v="175"/>
  </r>
  <r>
    <n v="1"/>
    <n v="120"/>
  </r>
  <r>
    <n v="1"/>
    <n v="399"/>
  </r>
  <r>
    <n v="2"/>
    <n v="99"/>
  </r>
  <r>
    <n v="1"/>
    <n v="175"/>
  </r>
  <r>
    <n v="1"/>
    <n v="249"/>
  </r>
  <r>
    <n v="1"/>
    <n v="175"/>
  </r>
  <r>
    <n v="1"/>
    <n v="299"/>
  </r>
  <r>
    <n v="1"/>
    <n v="99"/>
  </r>
  <r>
    <n v="1"/>
    <n v="449"/>
  </r>
  <r>
    <n v="2"/>
    <n v="175"/>
  </r>
  <r>
    <n v="1"/>
    <n v="399"/>
  </r>
  <r>
    <n v="1"/>
    <n v="175"/>
  </r>
  <r>
    <n v="1"/>
    <n v="349"/>
  </r>
  <r>
    <n v="1"/>
    <n v="120"/>
  </r>
  <r>
    <n v="1"/>
    <n v="175"/>
  </r>
  <r>
    <n v="1"/>
    <n v="299"/>
  </r>
  <r>
    <n v="1"/>
    <n v="299"/>
  </r>
  <r>
    <n v="1"/>
    <n v="99"/>
  </r>
  <r>
    <n v="1"/>
    <n v="249"/>
  </r>
  <r>
    <n v="1"/>
    <n v="249"/>
  </r>
  <r>
    <n v="1"/>
    <n v="199"/>
  </r>
  <r>
    <n v="1"/>
    <n v="175"/>
  </r>
  <r>
    <n v="1"/>
    <n v="249"/>
  </r>
  <r>
    <n v="1"/>
    <n v="299"/>
  </r>
  <r>
    <n v="1"/>
    <n v="120"/>
  </r>
  <r>
    <n v="1"/>
    <n v="225"/>
  </r>
  <r>
    <n v="2"/>
    <n v="175"/>
  </r>
  <r>
    <n v="1"/>
    <n v="199"/>
  </r>
  <r>
    <n v="1"/>
    <n v="279"/>
  </r>
  <r>
    <n v="1"/>
    <n v="399"/>
  </r>
  <r>
    <n v="1"/>
    <n v="99"/>
  </r>
  <r>
    <n v="1"/>
    <n v="225"/>
  </r>
  <r>
    <n v="1"/>
    <n v="299"/>
  </r>
  <r>
    <n v="1"/>
    <n v="249"/>
  </r>
  <r>
    <n v="2"/>
    <n v="199"/>
  </r>
  <r>
    <n v="1"/>
    <n v="449"/>
  </r>
  <r>
    <n v="1"/>
    <n v="175"/>
  </r>
  <r>
    <n v="1"/>
    <n v="279"/>
  </r>
  <r>
    <n v="1"/>
    <n v="175"/>
  </r>
  <r>
    <n v="1"/>
    <n v="225"/>
  </r>
  <r>
    <n v="1"/>
    <n v="249"/>
  </r>
  <r>
    <n v="1"/>
    <n v="349"/>
  </r>
  <r>
    <n v="1"/>
    <n v="350"/>
  </r>
  <r>
    <n v="1"/>
    <n v="275"/>
  </r>
  <r>
    <n v="1"/>
    <n v="299"/>
  </r>
  <r>
    <n v="1"/>
    <n v="249"/>
  </r>
  <r>
    <n v="1"/>
    <n v="349"/>
  </r>
  <r>
    <n v="1"/>
    <n v="99"/>
  </r>
  <r>
    <n v="1"/>
    <n v="249"/>
  </r>
  <r>
    <n v="1"/>
    <n v="249"/>
  </r>
  <r>
    <n v="1"/>
    <n v="125"/>
  </r>
  <r>
    <n v="1"/>
    <n v="50"/>
  </r>
  <r>
    <n v="1"/>
    <n v="199"/>
  </r>
  <r>
    <n v="1"/>
    <n v="349"/>
  </r>
  <r>
    <n v="1"/>
    <n v="299"/>
  </r>
  <r>
    <n v="1"/>
    <n v="275"/>
  </r>
  <r>
    <n v="1"/>
    <n v="199"/>
  </r>
  <r>
    <n v="1"/>
    <n v="299"/>
  </r>
  <r>
    <n v="1"/>
    <n v="199"/>
  </r>
  <r>
    <n v="1"/>
    <n v="199"/>
  </r>
  <r>
    <n v="1"/>
    <n v="349"/>
  </r>
  <r>
    <n v="1"/>
    <n v="199"/>
  </r>
  <r>
    <n v="2"/>
    <n v="275"/>
  </r>
  <r>
    <n v="1"/>
    <n v="249"/>
  </r>
  <r>
    <n v="1"/>
    <n v="225"/>
  </r>
  <r>
    <n v="1"/>
    <n v="120"/>
  </r>
  <r>
    <n v="1"/>
    <n v="199"/>
  </r>
  <r>
    <n v="1"/>
    <n v="99"/>
  </r>
  <r>
    <n v="2"/>
    <n v="50"/>
  </r>
  <r>
    <n v="1"/>
    <n v="199"/>
  </r>
  <r>
    <n v="1"/>
    <n v="275"/>
  </r>
  <r>
    <n v="1"/>
    <n v="249"/>
  </r>
  <r>
    <n v="1"/>
    <n v="199"/>
  </r>
  <r>
    <n v="1"/>
    <n v="249"/>
  </r>
  <r>
    <n v="1"/>
    <n v="199"/>
  </r>
  <r>
    <n v="1"/>
    <n v="175"/>
  </r>
  <r>
    <n v="1"/>
    <n v="199"/>
  </r>
  <r>
    <n v="1"/>
    <n v="299"/>
  </r>
  <r>
    <n v="1"/>
    <n v="299"/>
  </r>
  <r>
    <n v="1"/>
    <n v="279"/>
  </r>
  <r>
    <n v="1"/>
    <n v="275"/>
  </r>
  <r>
    <n v="1"/>
    <n v="125"/>
  </r>
  <r>
    <n v="1"/>
    <n v="250"/>
  </r>
  <r>
    <n v="1"/>
    <n v="349"/>
  </r>
  <r>
    <n v="1"/>
    <n v="550"/>
  </r>
  <r>
    <n v="1"/>
    <n v="350"/>
  </r>
  <r>
    <n v="1"/>
    <n v="175"/>
  </r>
  <r>
    <n v="1"/>
    <n v="349"/>
  </r>
  <r>
    <n v="1"/>
    <n v="125"/>
  </r>
  <r>
    <n v="1"/>
    <n v="199"/>
  </r>
  <r>
    <n v="1"/>
    <n v="275"/>
  </r>
  <r>
    <n v="1"/>
    <n v="175"/>
  </r>
  <r>
    <n v="1"/>
    <n v="99"/>
  </r>
  <r>
    <n v="1"/>
    <n v="199"/>
  </r>
  <r>
    <n v="1"/>
    <n v="175"/>
  </r>
  <r>
    <n v="2"/>
    <n v="175"/>
  </r>
  <r>
    <n v="8"/>
    <n v="175"/>
  </r>
  <r>
    <n v="1"/>
    <n v="180"/>
  </r>
  <r>
    <n v="1"/>
    <n v="199"/>
  </r>
  <r>
    <n v="1"/>
    <n v="120"/>
  </r>
  <r>
    <n v="1"/>
    <n v="275"/>
  </r>
  <r>
    <n v="1"/>
    <n v="199"/>
  </r>
  <r>
    <n v="1"/>
    <n v="250"/>
  </r>
  <r>
    <n v="1"/>
    <n v="550"/>
  </r>
  <r>
    <n v="1"/>
    <n v="125"/>
  </r>
  <r>
    <n v="1"/>
    <n v="175"/>
  </r>
  <r>
    <n v="2"/>
    <n v="199"/>
  </r>
  <r>
    <n v="1"/>
    <n v="199"/>
  </r>
  <r>
    <n v="1"/>
    <n v="275"/>
  </r>
  <r>
    <n v="1"/>
    <n v="350"/>
  </r>
  <r>
    <n v="1"/>
    <n v="99"/>
  </r>
  <r>
    <n v="1"/>
    <n v="180"/>
  </r>
  <r>
    <n v="1"/>
    <n v="175"/>
  </r>
  <r>
    <n v="1"/>
    <n v="349"/>
  </r>
  <r>
    <n v="1"/>
    <n v="275"/>
  </r>
  <r>
    <n v="1"/>
    <n v="349"/>
  </r>
  <r>
    <n v="1"/>
    <n v="175"/>
  </r>
  <r>
    <n v="1"/>
    <n v="225"/>
  </r>
  <r>
    <n v="1"/>
    <n v="175"/>
  </r>
  <r>
    <n v="1"/>
    <n v="175"/>
  </r>
  <r>
    <n v="1"/>
    <n v="249"/>
  </r>
  <r>
    <n v="1"/>
    <n v="249"/>
  </r>
  <r>
    <n v="1"/>
    <n v="199"/>
  </r>
  <r>
    <n v="1"/>
    <n v="399"/>
  </r>
  <r>
    <n v="1"/>
    <n v="215"/>
  </r>
  <r>
    <n v="1"/>
    <n v="249"/>
  </r>
  <r>
    <n v="2"/>
    <n v="299"/>
  </r>
  <r>
    <n v="1"/>
    <n v="275"/>
  </r>
  <r>
    <n v="1"/>
    <n v="499"/>
  </r>
  <r>
    <n v="1"/>
    <n v="199"/>
  </r>
  <r>
    <n v="1"/>
    <n v="249"/>
  </r>
  <r>
    <n v="1"/>
    <n v="150"/>
  </r>
  <r>
    <n v="1"/>
    <n v="375"/>
  </r>
  <r>
    <n v="1"/>
    <n v="275"/>
  </r>
  <r>
    <n v="1"/>
    <n v="199"/>
  </r>
  <r>
    <n v="1"/>
    <n v="499"/>
  </r>
  <r>
    <n v="1"/>
    <n v="275"/>
  </r>
  <r>
    <n v="3"/>
    <n v="175"/>
  </r>
  <r>
    <n v="1"/>
    <n v="199"/>
  </r>
  <r>
    <n v="1"/>
    <n v="75"/>
  </r>
  <r>
    <n v="1"/>
    <n v="249"/>
  </r>
  <r>
    <n v="1"/>
    <n v="299"/>
  </r>
  <r>
    <n v="1"/>
    <n v="225"/>
  </r>
  <r>
    <n v="1"/>
    <n v="375"/>
  </r>
  <r>
    <n v="1"/>
    <n v="199"/>
  </r>
  <r>
    <n v="2"/>
    <n v="275"/>
  </r>
  <r>
    <n v="1"/>
    <n v="199"/>
  </r>
  <r>
    <n v="1"/>
    <n v="225"/>
  </r>
  <r>
    <n v="1"/>
    <n v="249"/>
  </r>
  <r>
    <n v="1"/>
    <n v="199"/>
  </r>
  <r>
    <n v="2"/>
    <n v="175"/>
  </r>
  <r>
    <n v="1"/>
    <n v="249"/>
  </r>
  <r>
    <n v="1"/>
    <n v="399"/>
  </r>
  <r>
    <n v="1"/>
    <n v="499"/>
  </r>
  <r>
    <n v="1"/>
    <n v="75"/>
  </r>
  <r>
    <n v="1"/>
    <n v="275"/>
  </r>
  <r>
    <n v="1"/>
    <n v="175"/>
  </r>
  <r>
    <n v="2"/>
    <n v="150"/>
  </r>
  <r>
    <n v="1"/>
    <n v="299"/>
  </r>
  <r>
    <n v="1"/>
    <n v="199"/>
  </r>
  <r>
    <n v="1"/>
    <n v="199"/>
  </r>
  <r>
    <n v="1"/>
    <n v="225"/>
  </r>
  <r>
    <n v="1"/>
    <n v="375"/>
  </r>
  <r>
    <n v="1"/>
    <n v="249"/>
  </r>
  <r>
    <n v="1"/>
    <n v="299"/>
  </r>
  <r>
    <n v="1"/>
    <n v="149"/>
  </r>
  <r>
    <n v="1"/>
    <n v="299"/>
  </r>
  <r>
    <n v="1"/>
    <n v="399"/>
  </r>
  <r>
    <n v="1"/>
    <n v="475"/>
  </r>
  <r>
    <n v="1"/>
    <n v="349"/>
  </r>
  <r>
    <n v="1"/>
    <n v="199"/>
  </r>
  <r>
    <n v="1"/>
    <n v="215"/>
  </r>
  <r>
    <n v="1"/>
    <n v="149"/>
  </r>
  <r>
    <n v="2"/>
    <n v="199"/>
  </r>
  <r>
    <n v="1"/>
    <n v="249"/>
  </r>
  <r>
    <n v="1"/>
    <n v="249"/>
  </r>
  <r>
    <n v="1"/>
    <n v="249"/>
  </r>
  <r>
    <n v="1"/>
    <n v="349"/>
  </r>
  <r>
    <n v="2"/>
    <n v="349"/>
  </r>
  <r>
    <n v="1"/>
    <n v="249"/>
  </r>
  <r>
    <n v="1"/>
    <n v="275"/>
  </r>
  <r>
    <n v="1"/>
    <n v="2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Category">
  <location ref="K14:L19" firstHeaderRow="1" firstDataRow="1" firstDataCol="1"/>
  <pivotFields count="8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numFmtId="164" showAll="0"/>
    <pivotField dataField="1" numFmtId="164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7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451942-659C-4477-BC62-22789918E64C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5:M62" firstHeaderRow="1" firstDataRow="1" firstDataCol="0"/>
  <pivotFields count="2">
    <pivotField showAll="0"/>
    <pivotField numFmtId="164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2:L26" firstHeaderRow="1" firstDataRow="1" firstDataCol="1"/>
  <pivotFields count="9">
    <pivotField showAll="0"/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dataField="1" showAll="0"/>
    <pivotField numFmtId="164" showAll="0"/>
    <pivotField numFmtId="164" showAll="0"/>
    <pivotField axis="axisRow" showAll="0">
      <items count="4">
        <item x="0"/>
        <item x="1"/>
        <item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ty" fld="5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1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2">
  <location ref="K8:L12" firstHeaderRow="1" firstDataRow="1" firstDataCol="1"/>
  <pivotFields count="9"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axis="axisRow" showAll="0">
      <items count="4">
        <item x="0"/>
        <item x="1"/>
        <item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Revenue" fld="7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Category">
  <location ref="K1:L6" firstHeaderRow="1" firstDataRow="1" firstDataCol="1"/>
  <pivotFields count="8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numFmtId="164" showAll="0"/>
    <pivotField numFmtId="164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Qty" fld="5" baseField="0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8A2C42-CC8D-42B0-97FD-1C746E03F726}" name="Table2" displayName="Table2" ref="K29:L33" totalsRowShown="0">
  <autoFilter ref="K29:L33" xr:uid="{1B8A2C42-CC8D-42B0-97FD-1C746E03F726}"/>
  <tableColumns count="2">
    <tableColumn id="1" xr3:uid="{CAE00A91-A575-4C6D-B68B-98937BB83259}" name="Row Labels" dataDxfId="26"/>
    <tableColumn id="2" xr3:uid="{C0977837-191E-4CC8-B1EA-D40FDDA5A603}" name="Distinct Count of Order No.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FDFC10-05CD-480E-BA19-028E18207B7D}" name="Table3" displayName="Table3" ref="O46:Q50" totalsRowShown="0" headerRowDxfId="25" dataDxfId="24">
  <autoFilter ref="O46:Q50" xr:uid="{CCFDFC10-05CD-480E-BA19-028E18207B7D}"/>
  <tableColumns count="3">
    <tableColumn id="1" xr3:uid="{907CFBDE-56F1-4AA2-83FD-D7CCB64EFA1B}" name="Category" dataDxfId="23"/>
    <tableColumn id="2" xr3:uid="{D2652C16-BFC0-44A8-AC7F-52C3445C38B5}" name="Sales Velocity (units/week)" dataDxfId="22"/>
    <tableColumn id="3" xr3:uid="{47CC2AF7-7C07-40D6-8BD8-5635BC66DC18}" name="Qty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748FA9-E84E-4B39-BD3E-3E412C4BB58D}" name="Table4" displayName="Table4" ref="O60:T64" totalsRowShown="0" headerRowDxfId="20" dataDxfId="19">
  <autoFilter ref="O60:T64" xr:uid="{D9748FA9-E84E-4B39-BD3E-3E412C4BB58D}"/>
  <tableColumns count="6">
    <tableColumn id="1" xr3:uid="{685E21A2-7AE8-4F50-8225-AFAACB06D3DF}" name="Category" dataDxfId="18"/>
    <tableColumn id="2" xr3:uid="{51804881-A12E-4488-B311-504848C2E250}" name="Mar" dataDxfId="17"/>
    <tableColumn id="3" xr3:uid="{24D99532-0602-4920-BEAC-E999E741C526}" name="Apr" dataDxfId="16"/>
    <tableColumn id="4" xr3:uid="{6376C7A9-6A20-4D00-AC1B-08E966918F7F}" name="May" dataDxfId="15"/>
    <tableColumn id="5" xr3:uid="{A60E5FF5-A67B-4A71-B41B-2EA674632C79}" name="Apr_Growth_%" dataDxfId="14"/>
    <tableColumn id="6" xr3:uid="{C5D9E389-61E5-444D-81E0-A542884D27D2}" name="May_Growth_%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869D6F-0432-445C-A079-F5DFF38CDFCC}" name="Table5" displayName="Table5" ref="W16:AC20" totalsRowShown="0" headerRowDxfId="12" dataDxfId="11">
  <autoFilter ref="W16:AC20" xr:uid="{78869D6F-0432-445C-A079-F5DFF38CDFCC}"/>
  <tableColumns count="7">
    <tableColumn id="1" xr3:uid="{6D5528AF-43A2-4DB4-ACF3-0BE69CF02071}" name="Category" dataDxfId="10"/>
    <tableColumn id="2" xr3:uid="{A358159F-9263-4CBC-8A36-C0E8A073D5E4}" name="Mar" dataDxfId="9">
      <calculatedColumnFormula>SUMIFS($F:$F,$D:$D,$W17,$I:$I,"Mar")</calculatedColumnFormula>
    </tableColumn>
    <tableColumn id="3" xr3:uid="{FD5F4D3F-493E-4DA5-9F1C-43823FA274F9}" name="Apr" dataDxfId="8">
      <calculatedColumnFormula>SUMIFS($F:$F,$D:$D,$W17,$I:$I,"Apr")</calculatedColumnFormula>
    </tableColumn>
    <tableColumn id="4" xr3:uid="{7EFB0E49-0BB7-4311-9B4F-1880D1D39FB6}" name="May" dataDxfId="7">
      <calculatedColumnFormula>SUMIFS($F:$F,$D:$D,$W17,$I:$I,"May")</calculatedColumnFormula>
    </tableColumn>
    <tableColumn id="5" xr3:uid="{57CF472E-3B3D-480D-93F4-3EE79ADB60E9}" name="Mean" dataDxfId="6">
      <calculatedColumnFormula>AVERAGE(X17:Z17)</calculatedColumnFormula>
    </tableColumn>
    <tableColumn id="6" xr3:uid="{8E15E8D6-9596-4D16-AFAD-02065816B808}" name="Std" dataDxfId="5">
      <calculatedColumnFormula>_xlfn.STDEV.S(X17:Z17)</calculatedColumnFormula>
    </tableColumn>
    <tableColumn id="7" xr3:uid="{7C9DD00F-EEDC-41E9-8818-22B60AC23191}" name="CV %" dataDxfId="4">
      <calculatedColumnFormula>AB17/AA17*100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4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showGridLines="0" topLeftCell="A13" zoomScaleNormal="100" workbookViewId="0"/>
  </sheetViews>
  <sheetFormatPr defaultColWidth="8.6328125" defaultRowHeight="14.5" x14ac:dyDescent="0.35"/>
  <cols>
    <col min="1" max="1" width="10" customWidth="1"/>
    <col min="2" max="2" width="18" customWidth="1"/>
    <col min="3" max="3" width="12" customWidth="1"/>
    <col min="4" max="4" width="34" customWidth="1"/>
    <col min="5" max="5" width="12" customWidth="1"/>
    <col min="6" max="6" width="8" customWidth="1"/>
    <col min="7" max="7" width="14" customWidth="1"/>
    <col min="8" max="8" width="34" customWidth="1"/>
    <col min="9" max="9" width="12" customWidth="1"/>
    <col min="10" max="10" width="8" customWidth="1"/>
    <col min="11" max="11" width="14" customWidth="1"/>
    <col min="12" max="12" width="34" customWidth="1"/>
    <col min="13" max="13" width="12" customWidth="1"/>
    <col min="14" max="14" width="8" customWidth="1"/>
    <col min="15" max="15" width="14" customWidth="1"/>
    <col min="16" max="16" width="15" customWidth="1"/>
    <col min="17" max="18" width="10" customWidth="1"/>
  </cols>
  <sheetData>
    <row r="1" spans="1:18" ht="31.5" customHeight="1" x14ac:dyDescent="0.3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</row>
    <row r="2" spans="1:18" ht="15" customHeight="1" x14ac:dyDescent="0.35">
      <c r="A2" s="2" t="s">
        <v>114</v>
      </c>
      <c r="B2" s="3" t="s">
        <v>115</v>
      </c>
      <c r="C2" s="3">
        <v>2</v>
      </c>
      <c r="D2" s="3" t="s">
        <v>42</v>
      </c>
      <c r="E2" s="3" t="s">
        <v>10</v>
      </c>
      <c r="F2" s="3">
        <v>1</v>
      </c>
      <c r="G2" s="4">
        <v>175</v>
      </c>
      <c r="H2" s="3" t="s">
        <v>59</v>
      </c>
      <c r="I2" s="3" t="s">
        <v>10</v>
      </c>
      <c r="J2" s="3">
        <v>1</v>
      </c>
      <c r="K2" s="4">
        <v>249</v>
      </c>
      <c r="L2" s="3" t="s">
        <v>116</v>
      </c>
      <c r="M2" s="3" t="s">
        <v>116</v>
      </c>
      <c r="N2" s="3" t="s">
        <v>116</v>
      </c>
      <c r="O2" s="3" t="s">
        <v>116</v>
      </c>
      <c r="P2" s="4">
        <f t="shared" ref="P2:P33" si="0">IFERROR(F2*G2,0)+IFERROR(J2*K2,0)+IFERROR(N2*O2,0)</f>
        <v>424</v>
      </c>
      <c r="Q2" s="3" t="s">
        <v>117</v>
      </c>
      <c r="R2" s="3" t="s">
        <v>118</v>
      </c>
    </row>
    <row r="3" spans="1:18" ht="15" customHeight="1" x14ac:dyDescent="0.35">
      <c r="A3" s="5" t="s">
        <v>119</v>
      </c>
      <c r="B3" s="6" t="s">
        <v>120</v>
      </c>
      <c r="C3" s="6">
        <v>1</v>
      </c>
      <c r="D3" s="6" t="s">
        <v>51</v>
      </c>
      <c r="E3" s="6" t="s">
        <v>11</v>
      </c>
      <c r="F3" s="6">
        <v>1</v>
      </c>
      <c r="G3" s="7">
        <v>399</v>
      </c>
      <c r="H3" s="6" t="s">
        <v>116</v>
      </c>
      <c r="I3" s="6" t="s">
        <v>116</v>
      </c>
      <c r="J3" s="6" t="s">
        <v>116</v>
      </c>
      <c r="K3" s="6" t="s">
        <v>116</v>
      </c>
      <c r="L3" s="6" t="s">
        <v>116</v>
      </c>
      <c r="M3" s="6" t="s">
        <v>116</v>
      </c>
      <c r="N3" s="6" t="s">
        <v>116</v>
      </c>
      <c r="O3" s="6" t="s">
        <v>116</v>
      </c>
      <c r="P3" s="14">
        <f t="shared" si="0"/>
        <v>399</v>
      </c>
      <c r="Q3" s="6" t="s">
        <v>117</v>
      </c>
      <c r="R3" s="6" t="s">
        <v>118</v>
      </c>
    </row>
    <row r="4" spans="1:18" ht="15" customHeight="1" x14ac:dyDescent="0.35">
      <c r="A4" s="2" t="s">
        <v>121</v>
      </c>
      <c r="B4" s="3" t="s">
        <v>122</v>
      </c>
      <c r="C4" s="3">
        <v>3</v>
      </c>
      <c r="D4" s="3" t="s">
        <v>29</v>
      </c>
      <c r="E4" s="3" t="s">
        <v>11</v>
      </c>
      <c r="F4" s="3">
        <v>1</v>
      </c>
      <c r="G4" s="4">
        <v>399</v>
      </c>
      <c r="H4" s="3" t="s">
        <v>27</v>
      </c>
      <c r="I4" s="3" t="s">
        <v>10</v>
      </c>
      <c r="J4" s="3">
        <v>3</v>
      </c>
      <c r="K4" s="4">
        <v>175</v>
      </c>
      <c r="L4" s="3" t="s">
        <v>65</v>
      </c>
      <c r="M4" s="3" t="s">
        <v>10</v>
      </c>
      <c r="N4" s="3">
        <v>1</v>
      </c>
      <c r="O4" s="4">
        <v>299</v>
      </c>
      <c r="P4" s="4">
        <f t="shared" si="0"/>
        <v>1223</v>
      </c>
      <c r="Q4" s="3" t="s">
        <v>123</v>
      </c>
      <c r="R4" s="3" t="s">
        <v>118</v>
      </c>
    </row>
    <row r="5" spans="1:18" ht="15" customHeight="1" x14ac:dyDescent="0.35">
      <c r="A5" s="5" t="s">
        <v>124</v>
      </c>
      <c r="B5" s="6" t="s">
        <v>125</v>
      </c>
      <c r="C5" s="6">
        <v>2</v>
      </c>
      <c r="D5" s="6" t="s">
        <v>59</v>
      </c>
      <c r="E5" s="6" t="s">
        <v>10</v>
      </c>
      <c r="F5" s="6">
        <v>1</v>
      </c>
      <c r="G5" s="7">
        <v>249</v>
      </c>
      <c r="H5" s="6" t="s">
        <v>69</v>
      </c>
      <c r="I5" s="6" t="s">
        <v>10</v>
      </c>
      <c r="J5" s="6">
        <v>1</v>
      </c>
      <c r="K5" s="7">
        <v>125</v>
      </c>
      <c r="L5" s="6" t="s">
        <v>116</v>
      </c>
      <c r="M5" s="6" t="s">
        <v>116</v>
      </c>
      <c r="N5" s="6" t="s">
        <v>116</v>
      </c>
      <c r="O5" s="6" t="s">
        <v>116</v>
      </c>
      <c r="P5" s="14">
        <f t="shared" si="0"/>
        <v>374</v>
      </c>
      <c r="Q5" s="6" t="s">
        <v>117</v>
      </c>
      <c r="R5" s="6" t="s">
        <v>118</v>
      </c>
    </row>
    <row r="6" spans="1:18" ht="15" customHeight="1" x14ac:dyDescent="0.35">
      <c r="A6" s="2" t="s">
        <v>126</v>
      </c>
      <c r="B6" s="3" t="s">
        <v>127</v>
      </c>
      <c r="C6" s="3">
        <v>1</v>
      </c>
      <c r="D6" s="3" t="s">
        <v>71</v>
      </c>
      <c r="E6" s="3" t="s">
        <v>11</v>
      </c>
      <c r="F6" s="3">
        <v>1</v>
      </c>
      <c r="G6" s="4">
        <v>249</v>
      </c>
      <c r="H6" s="3" t="s">
        <v>116</v>
      </c>
      <c r="I6" s="3" t="s">
        <v>116</v>
      </c>
      <c r="J6" s="3" t="s">
        <v>116</v>
      </c>
      <c r="K6" s="3" t="s">
        <v>116</v>
      </c>
      <c r="L6" s="3" t="s">
        <v>116</v>
      </c>
      <c r="M6" s="3" t="s">
        <v>116</v>
      </c>
      <c r="N6" s="3" t="s">
        <v>116</v>
      </c>
      <c r="O6" s="3" t="s">
        <v>116</v>
      </c>
      <c r="P6" s="4">
        <f t="shared" si="0"/>
        <v>249</v>
      </c>
      <c r="Q6" s="3" t="s">
        <v>117</v>
      </c>
      <c r="R6" s="3" t="s">
        <v>118</v>
      </c>
    </row>
    <row r="7" spans="1:18" ht="15" customHeight="1" x14ac:dyDescent="0.35">
      <c r="A7" s="5" t="s">
        <v>128</v>
      </c>
      <c r="B7" s="6" t="s">
        <v>129</v>
      </c>
      <c r="C7" s="6">
        <v>1</v>
      </c>
      <c r="D7" s="6" t="s">
        <v>69</v>
      </c>
      <c r="E7" s="6" t="s">
        <v>10</v>
      </c>
      <c r="F7" s="6">
        <v>1</v>
      </c>
      <c r="G7" s="7">
        <v>125</v>
      </c>
      <c r="H7" s="6" t="s">
        <v>116</v>
      </c>
      <c r="I7" s="6" t="s">
        <v>116</v>
      </c>
      <c r="J7" s="6" t="s">
        <v>116</v>
      </c>
      <c r="K7" s="6" t="s">
        <v>116</v>
      </c>
      <c r="L7" s="6" t="s">
        <v>116</v>
      </c>
      <c r="M7" s="6" t="s">
        <v>116</v>
      </c>
      <c r="N7" s="6" t="s">
        <v>116</v>
      </c>
      <c r="O7" s="6" t="s">
        <v>116</v>
      </c>
      <c r="P7" s="14">
        <f t="shared" si="0"/>
        <v>125</v>
      </c>
      <c r="Q7" s="6" t="s">
        <v>117</v>
      </c>
      <c r="R7" s="6" t="s">
        <v>118</v>
      </c>
    </row>
    <row r="8" spans="1:18" ht="15" customHeight="1" x14ac:dyDescent="0.35">
      <c r="A8" s="2" t="s">
        <v>130</v>
      </c>
      <c r="B8" s="3" t="s">
        <v>131</v>
      </c>
      <c r="C8" s="3">
        <v>3</v>
      </c>
      <c r="D8" s="3" t="s">
        <v>23</v>
      </c>
      <c r="E8" s="3" t="s">
        <v>11</v>
      </c>
      <c r="F8" s="3">
        <v>1</v>
      </c>
      <c r="G8" s="4">
        <v>449</v>
      </c>
      <c r="H8" s="3" t="s">
        <v>32</v>
      </c>
      <c r="I8" s="3" t="s">
        <v>11</v>
      </c>
      <c r="J8" s="3">
        <v>1</v>
      </c>
      <c r="K8" s="4">
        <v>299</v>
      </c>
      <c r="L8" s="3" t="s">
        <v>42</v>
      </c>
      <c r="M8" s="3" t="s">
        <v>10</v>
      </c>
      <c r="N8" s="3">
        <v>1</v>
      </c>
      <c r="O8" s="4">
        <v>175</v>
      </c>
      <c r="P8" s="4">
        <f t="shared" si="0"/>
        <v>923</v>
      </c>
      <c r="Q8" s="3" t="s">
        <v>117</v>
      </c>
      <c r="R8" s="3" t="s">
        <v>118</v>
      </c>
    </row>
    <row r="9" spans="1:18" ht="15" customHeight="1" x14ac:dyDescent="0.35">
      <c r="A9" s="5" t="s">
        <v>132</v>
      </c>
      <c r="B9" s="6" t="s">
        <v>133</v>
      </c>
      <c r="C9" s="6">
        <v>3</v>
      </c>
      <c r="D9" s="6" t="s">
        <v>55</v>
      </c>
      <c r="E9" s="6" t="s">
        <v>10</v>
      </c>
      <c r="F9" s="6">
        <v>1</v>
      </c>
      <c r="G9" s="7">
        <v>99</v>
      </c>
      <c r="H9" s="6" t="s">
        <v>56</v>
      </c>
      <c r="I9" s="6" t="s">
        <v>11</v>
      </c>
      <c r="J9" s="6">
        <v>1</v>
      </c>
      <c r="K9" s="7">
        <v>249</v>
      </c>
      <c r="L9" s="6" t="s">
        <v>40</v>
      </c>
      <c r="M9" s="6" t="s">
        <v>10</v>
      </c>
      <c r="N9" s="6">
        <v>1</v>
      </c>
      <c r="O9" s="7">
        <v>299</v>
      </c>
      <c r="P9" s="14">
        <f t="shared" si="0"/>
        <v>647</v>
      </c>
      <c r="Q9" s="6" t="s">
        <v>117</v>
      </c>
      <c r="R9" s="6" t="s">
        <v>118</v>
      </c>
    </row>
    <row r="10" spans="1:18" ht="15" customHeight="1" x14ac:dyDescent="0.35">
      <c r="A10" s="2" t="s">
        <v>134</v>
      </c>
      <c r="B10" s="3" t="s">
        <v>135</v>
      </c>
      <c r="C10" s="3">
        <v>1</v>
      </c>
      <c r="D10" s="3" t="s">
        <v>15</v>
      </c>
      <c r="E10" s="3" t="s">
        <v>11</v>
      </c>
      <c r="F10" s="3">
        <v>1</v>
      </c>
      <c r="G10" s="4">
        <v>349</v>
      </c>
      <c r="H10" s="3" t="s">
        <v>116</v>
      </c>
      <c r="I10" s="3" t="s">
        <v>116</v>
      </c>
      <c r="J10" s="3" t="s">
        <v>116</v>
      </c>
      <c r="K10" s="3" t="s">
        <v>116</v>
      </c>
      <c r="L10" s="3" t="s">
        <v>116</v>
      </c>
      <c r="M10" s="3" t="s">
        <v>116</v>
      </c>
      <c r="N10" s="3" t="s">
        <v>116</v>
      </c>
      <c r="O10" s="3" t="s">
        <v>116</v>
      </c>
      <c r="P10" s="4">
        <f t="shared" si="0"/>
        <v>349</v>
      </c>
      <c r="Q10" s="3" t="s">
        <v>117</v>
      </c>
      <c r="R10" s="3" t="s">
        <v>136</v>
      </c>
    </row>
    <row r="11" spans="1:18" ht="23.9" customHeight="1" x14ac:dyDescent="0.35">
      <c r="A11" s="5" t="s">
        <v>137</v>
      </c>
      <c r="B11" s="6" t="s">
        <v>138</v>
      </c>
      <c r="C11" s="6">
        <v>3</v>
      </c>
      <c r="D11" s="6" t="s">
        <v>62</v>
      </c>
      <c r="E11" s="6" t="s">
        <v>19</v>
      </c>
      <c r="F11" s="6">
        <v>1</v>
      </c>
      <c r="G11" s="7">
        <v>175</v>
      </c>
      <c r="H11" s="6" t="s">
        <v>69</v>
      </c>
      <c r="I11" s="6" t="s">
        <v>10</v>
      </c>
      <c r="J11" s="6">
        <v>1</v>
      </c>
      <c r="K11" s="7">
        <v>125</v>
      </c>
      <c r="L11" s="6" t="s">
        <v>60</v>
      </c>
      <c r="M11" s="6" t="s">
        <v>10</v>
      </c>
      <c r="N11" s="6">
        <v>1</v>
      </c>
      <c r="O11" s="7">
        <v>120</v>
      </c>
      <c r="P11" s="14">
        <f t="shared" si="0"/>
        <v>420</v>
      </c>
      <c r="Q11" s="6" t="s">
        <v>117</v>
      </c>
      <c r="R11" s="6" t="s">
        <v>118</v>
      </c>
    </row>
    <row r="12" spans="1:18" ht="15" customHeight="1" x14ac:dyDescent="0.35">
      <c r="A12" s="2" t="s">
        <v>139</v>
      </c>
      <c r="B12" s="3" t="s">
        <v>140</v>
      </c>
      <c r="C12" s="3">
        <v>2</v>
      </c>
      <c r="D12" s="3" t="s">
        <v>25</v>
      </c>
      <c r="E12" s="3" t="s">
        <v>11</v>
      </c>
      <c r="F12" s="3">
        <v>1</v>
      </c>
      <c r="G12" s="4">
        <v>249</v>
      </c>
      <c r="H12" s="3" t="s">
        <v>9</v>
      </c>
      <c r="I12" s="3" t="s">
        <v>10</v>
      </c>
      <c r="J12" s="3">
        <v>1</v>
      </c>
      <c r="K12" s="4">
        <v>175</v>
      </c>
      <c r="L12" s="3" t="s">
        <v>116</v>
      </c>
      <c r="M12" s="3" t="s">
        <v>116</v>
      </c>
      <c r="N12" s="3" t="s">
        <v>116</v>
      </c>
      <c r="O12" s="3" t="s">
        <v>116</v>
      </c>
      <c r="P12" s="4">
        <f t="shared" si="0"/>
        <v>424</v>
      </c>
      <c r="Q12" s="3" t="s">
        <v>117</v>
      </c>
      <c r="R12" s="3" t="s">
        <v>118</v>
      </c>
    </row>
    <row r="13" spans="1:18" ht="15" customHeight="1" x14ac:dyDescent="0.35">
      <c r="A13" s="5" t="s">
        <v>141</v>
      </c>
      <c r="B13" s="6" t="s">
        <v>142</v>
      </c>
      <c r="C13" s="6">
        <v>2</v>
      </c>
      <c r="D13" s="6" t="s">
        <v>60</v>
      </c>
      <c r="E13" s="6" t="s">
        <v>10</v>
      </c>
      <c r="F13" s="6">
        <v>1</v>
      </c>
      <c r="G13" s="7">
        <v>120</v>
      </c>
      <c r="H13" s="6" t="s">
        <v>51</v>
      </c>
      <c r="I13" s="6" t="s">
        <v>11</v>
      </c>
      <c r="J13" s="6">
        <v>1</v>
      </c>
      <c r="K13" s="7">
        <v>399</v>
      </c>
      <c r="L13" s="6" t="s">
        <v>116</v>
      </c>
      <c r="M13" s="6" t="s">
        <v>116</v>
      </c>
      <c r="N13" s="6" t="s">
        <v>116</v>
      </c>
      <c r="O13" s="6" t="s">
        <v>116</v>
      </c>
      <c r="P13" s="14">
        <f t="shared" si="0"/>
        <v>519</v>
      </c>
      <c r="Q13" s="6" t="s">
        <v>117</v>
      </c>
      <c r="R13" s="6" t="s">
        <v>118</v>
      </c>
    </row>
    <row r="14" spans="1:18" ht="15" customHeight="1" x14ac:dyDescent="0.35">
      <c r="A14" s="2" t="s">
        <v>143</v>
      </c>
      <c r="B14" s="3" t="s">
        <v>144</v>
      </c>
      <c r="C14" s="3">
        <v>1</v>
      </c>
      <c r="D14" s="3" t="s">
        <v>55</v>
      </c>
      <c r="E14" s="3" t="s">
        <v>10</v>
      </c>
      <c r="F14" s="3">
        <v>2</v>
      </c>
      <c r="G14" s="4">
        <v>99</v>
      </c>
      <c r="H14" s="3" t="s">
        <v>116</v>
      </c>
      <c r="I14" s="3" t="s">
        <v>116</v>
      </c>
      <c r="J14" s="3" t="s">
        <v>116</v>
      </c>
      <c r="K14" s="3" t="s">
        <v>116</v>
      </c>
      <c r="L14" s="3" t="s">
        <v>116</v>
      </c>
      <c r="M14" s="3" t="s">
        <v>116</v>
      </c>
      <c r="N14" s="3" t="s">
        <v>116</v>
      </c>
      <c r="O14" s="3" t="s">
        <v>116</v>
      </c>
      <c r="P14" s="4">
        <f t="shared" si="0"/>
        <v>198</v>
      </c>
      <c r="Q14" s="3" t="s">
        <v>145</v>
      </c>
      <c r="R14" s="3" t="s">
        <v>118</v>
      </c>
    </row>
    <row r="15" spans="1:18" ht="23.9" customHeight="1" x14ac:dyDescent="0.35">
      <c r="A15" s="5" t="s">
        <v>146</v>
      </c>
      <c r="B15" s="6" t="s">
        <v>147</v>
      </c>
      <c r="C15" s="6">
        <v>3</v>
      </c>
      <c r="D15" s="6" t="s">
        <v>42</v>
      </c>
      <c r="E15" s="6" t="s">
        <v>10</v>
      </c>
      <c r="F15" s="6">
        <v>1</v>
      </c>
      <c r="G15" s="7">
        <v>175</v>
      </c>
      <c r="H15" s="6" t="s">
        <v>71</v>
      </c>
      <c r="I15" s="6" t="s">
        <v>11</v>
      </c>
      <c r="J15" s="6">
        <v>1</v>
      </c>
      <c r="K15" s="7">
        <v>249</v>
      </c>
      <c r="L15" s="6" t="s">
        <v>62</v>
      </c>
      <c r="M15" s="6" t="s">
        <v>19</v>
      </c>
      <c r="N15" s="6">
        <v>1</v>
      </c>
      <c r="O15" s="7">
        <v>175</v>
      </c>
      <c r="P15" s="14">
        <f t="shared" si="0"/>
        <v>599</v>
      </c>
      <c r="Q15" s="6" t="s">
        <v>117</v>
      </c>
      <c r="R15" s="6" t="s">
        <v>118</v>
      </c>
    </row>
    <row r="16" spans="1:18" ht="15" customHeight="1" x14ac:dyDescent="0.35">
      <c r="A16" s="2" t="s">
        <v>148</v>
      </c>
      <c r="B16" s="3" t="s">
        <v>149</v>
      </c>
      <c r="C16" s="3">
        <v>2</v>
      </c>
      <c r="D16" s="3" t="s">
        <v>40</v>
      </c>
      <c r="E16" s="3" t="s">
        <v>10</v>
      </c>
      <c r="F16" s="3">
        <v>1</v>
      </c>
      <c r="G16" s="4">
        <v>299</v>
      </c>
      <c r="H16" s="3" t="s">
        <v>55</v>
      </c>
      <c r="I16" s="3" t="s">
        <v>10</v>
      </c>
      <c r="J16" s="3">
        <v>1</v>
      </c>
      <c r="K16" s="4">
        <v>99</v>
      </c>
      <c r="L16" s="3" t="s">
        <v>116</v>
      </c>
      <c r="M16" s="3" t="s">
        <v>116</v>
      </c>
      <c r="N16" s="3" t="s">
        <v>116</v>
      </c>
      <c r="O16" s="3" t="s">
        <v>116</v>
      </c>
      <c r="P16" s="4">
        <f t="shared" si="0"/>
        <v>398</v>
      </c>
      <c r="Q16" s="3" t="s">
        <v>123</v>
      </c>
      <c r="R16" s="3" t="s">
        <v>118</v>
      </c>
    </row>
    <row r="17" spans="1:18" ht="15" customHeight="1" x14ac:dyDescent="0.35">
      <c r="A17" s="5" t="s">
        <v>150</v>
      </c>
      <c r="B17" s="6" t="s">
        <v>151</v>
      </c>
      <c r="C17" s="6">
        <v>1</v>
      </c>
      <c r="D17" s="6" t="s">
        <v>23</v>
      </c>
      <c r="E17" s="6" t="s">
        <v>11</v>
      </c>
      <c r="F17" s="6">
        <v>1</v>
      </c>
      <c r="G17" s="7">
        <v>449</v>
      </c>
      <c r="H17" s="6" t="s">
        <v>116</v>
      </c>
      <c r="I17" s="6" t="s">
        <v>116</v>
      </c>
      <c r="J17" s="6" t="s">
        <v>116</v>
      </c>
      <c r="K17" s="6" t="s">
        <v>116</v>
      </c>
      <c r="L17" s="6" t="s">
        <v>116</v>
      </c>
      <c r="M17" s="6" t="s">
        <v>116</v>
      </c>
      <c r="N17" s="6" t="s">
        <v>116</v>
      </c>
      <c r="O17" s="6" t="s">
        <v>116</v>
      </c>
      <c r="P17" s="14">
        <f t="shared" si="0"/>
        <v>449</v>
      </c>
      <c r="Q17" s="6" t="s">
        <v>117</v>
      </c>
      <c r="R17" s="6" t="s">
        <v>118</v>
      </c>
    </row>
    <row r="18" spans="1:18" ht="15" customHeight="1" x14ac:dyDescent="0.35">
      <c r="A18" s="2" t="s">
        <v>152</v>
      </c>
      <c r="B18" s="3" t="s">
        <v>153</v>
      </c>
      <c r="C18" s="3">
        <v>3</v>
      </c>
      <c r="D18" s="3" t="s">
        <v>27</v>
      </c>
      <c r="E18" s="3" t="s">
        <v>10</v>
      </c>
      <c r="F18" s="3">
        <v>2</v>
      </c>
      <c r="G18" s="4">
        <v>175</v>
      </c>
      <c r="H18" s="3" t="s">
        <v>29</v>
      </c>
      <c r="I18" s="3" t="s">
        <v>11</v>
      </c>
      <c r="J18" s="3">
        <v>1</v>
      </c>
      <c r="K18" s="4">
        <v>399</v>
      </c>
      <c r="L18" s="3" t="s">
        <v>9</v>
      </c>
      <c r="M18" s="3" t="s">
        <v>10</v>
      </c>
      <c r="N18" s="3">
        <v>1</v>
      </c>
      <c r="O18" s="4">
        <v>175</v>
      </c>
      <c r="P18" s="4">
        <f t="shared" si="0"/>
        <v>924</v>
      </c>
      <c r="Q18" s="3" t="s">
        <v>117</v>
      </c>
      <c r="R18" s="3" t="s">
        <v>118</v>
      </c>
    </row>
    <row r="19" spans="1:18" ht="15" customHeight="1" x14ac:dyDescent="0.35">
      <c r="A19" s="5" t="s">
        <v>154</v>
      </c>
      <c r="B19" s="6" t="s">
        <v>155</v>
      </c>
      <c r="C19" s="6">
        <v>2</v>
      </c>
      <c r="D19" s="6" t="s">
        <v>15</v>
      </c>
      <c r="E19" s="6" t="s">
        <v>11</v>
      </c>
      <c r="F19" s="6">
        <v>1</v>
      </c>
      <c r="G19" s="7">
        <v>349</v>
      </c>
      <c r="H19" s="6" t="s">
        <v>60</v>
      </c>
      <c r="I19" s="6" t="s">
        <v>10</v>
      </c>
      <c r="J19" s="6">
        <v>1</v>
      </c>
      <c r="K19" s="7">
        <v>120</v>
      </c>
      <c r="L19" s="6" t="s">
        <v>116</v>
      </c>
      <c r="M19" s="6" t="s">
        <v>116</v>
      </c>
      <c r="N19" s="6" t="s">
        <v>116</v>
      </c>
      <c r="O19" s="6" t="s">
        <v>116</v>
      </c>
      <c r="P19" s="14">
        <f t="shared" si="0"/>
        <v>469</v>
      </c>
      <c r="Q19" s="6" t="s">
        <v>117</v>
      </c>
      <c r="R19" s="6" t="s">
        <v>118</v>
      </c>
    </row>
    <row r="20" spans="1:18" ht="23.9" customHeight="1" x14ac:dyDescent="0.35">
      <c r="A20" s="2" t="s">
        <v>156</v>
      </c>
      <c r="B20" s="3" t="s">
        <v>157</v>
      </c>
      <c r="C20" s="3">
        <v>1</v>
      </c>
      <c r="D20" s="3" t="s">
        <v>62</v>
      </c>
      <c r="E20" s="3" t="s">
        <v>19</v>
      </c>
      <c r="F20" s="3">
        <v>1</v>
      </c>
      <c r="G20" s="4">
        <v>175</v>
      </c>
      <c r="H20" s="3" t="s">
        <v>116</v>
      </c>
      <c r="I20" s="3" t="s">
        <v>116</v>
      </c>
      <c r="J20" s="3" t="s">
        <v>116</v>
      </c>
      <c r="K20" s="3" t="s">
        <v>116</v>
      </c>
      <c r="L20" s="3" t="s">
        <v>116</v>
      </c>
      <c r="M20" s="3" t="s">
        <v>116</v>
      </c>
      <c r="N20" s="3" t="s">
        <v>116</v>
      </c>
      <c r="O20" s="3" t="s">
        <v>116</v>
      </c>
      <c r="P20" s="4">
        <f t="shared" si="0"/>
        <v>175</v>
      </c>
      <c r="Q20" s="3" t="s">
        <v>117</v>
      </c>
      <c r="R20" s="3" t="s">
        <v>118</v>
      </c>
    </row>
    <row r="21" spans="1:18" ht="15" customHeight="1" x14ac:dyDescent="0.35">
      <c r="A21" s="5" t="s">
        <v>158</v>
      </c>
      <c r="B21" s="6" t="s">
        <v>159</v>
      </c>
      <c r="C21" s="6">
        <v>3</v>
      </c>
      <c r="D21" s="6" t="s">
        <v>32</v>
      </c>
      <c r="E21" s="6" t="s">
        <v>11</v>
      </c>
      <c r="F21" s="6">
        <v>1</v>
      </c>
      <c r="G21" s="7">
        <v>299</v>
      </c>
      <c r="H21" s="6" t="s">
        <v>65</v>
      </c>
      <c r="I21" s="6" t="s">
        <v>10</v>
      </c>
      <c r="J21" s="6">
        <v>1</v>
      </c>
      <c r="K21" s="7">
        <v>299</v>
      </c>
      <c r="L21" s="6" t="s">
        <v>55</v>
      </c>
      <c r="M21" s="6" t="s">
        <v>10</v>
      </c>
      <c r="N21" s="6">
        <v>1</v>
      </c>
      <c r="O21" s="7">
        <v>99</v>
      </c>
      <c r="P21" s="14">
        <f t="shared" si="0"/>
        <v>697</v>
      </c>
      <c r="Q21" s="6" t="s">
        <v>123</v>
      </c>
      <c r="R21" s="6" t="s">
        <v>118</v>
      </c>
    </row>
    <row r="22" spans="1:18" ht="15" customHeight="1" x14ac:dyDescent="0.35">
      <c r="A22" s="2" t="s">
        <v>160</v>
      </c>
      <c r="B22" s="3" t="s">
        <v>161</v>
      </c>
      <c r="C22" s="3">
        <v>2</v>
      </c>
      <c r="D22" s="3" t="s">
        <v>59</v>
      </c>
      <c r="E22" s="3" t="s">
        <v>10</v>
      </c>
      <c r="F22" s="3">
        <v>1</v>
      </c>
      <c r="G22" s="4">
        <v>249</v>
      </c>
      <c r="H22" s="3" t="s">
        <v>56</v>
      </c>
      <c r="I22" s="3" t="s">
        <v>11</v>
      </c>
      <c r="J22" s="3">
        <v>1</v>
      </c>
      <c r="K22" s="4">
        <v>249</v>
      </c>
      <c r="L22" s="3" t="s">
        <v>116</v>
      </c>
      <c r="M22" s="3" t="s">
        <v>116</v>
      </c>
      <c r="N22" s="3" t="s">
        <v>116</v>
      </c>
      <c r="O22" s="3" t="s">
        <v>116</v>
      </c>
      <c r="P22" s="4">
        <f t="shared" si="0"/>
        <v>498</v>
      </c>
      <c r="Q22" s="3" t="s">
        <v>117</v>
      </c>
      <c r="R22" s="3" t="s">
        <v>118</v>
      </c>
    </row>
    <row r="23" spans="1:18" ht="15" customHeight="1" x14ac:dyDescent="0.35">
      <c r="A23" s="5" t="s">
        <v>162</v>
      </c>
      <c r="B23" s="6" t="s">
        <v>163</v>
      </c>
      <c r="C23" s="6">
        <v>2</v>
      </c>
      <c r="D23" s="6" t="s">
        <v>21</v>
      </c>
      <c r="E23" s="6" t="s">
        <v>16</v>
      </c>
      <c r="F23" s="6">
        <v>1</v>
      </c>
      <c r="G23" s="7">
        <v>199</v>
      </c>
      <c r="H23" s="6" t="s">
        <v>42</v>
      </c>
      <c r="I23" s="6" t="s">
        <v>10</v>
      </c>
      <c r="J23" s="6">
        <v>1</v>
      </c>
      <c r="K23" s="7">
        <v>175</v>
      </c>
      <c r="L23" s="6" t="s">
        <v>116</v>
      </c>
      <c r="M23" s="6" t="s">
        <v>116</v>
      </c>
      <c r="N23" s="6" t="s">
        <v>116</v>
      </c>
      <c r="O23" s="6" t="s">
        <v>116</v>
      </c>
      <c r="P23" s="14">
        <f t="shared" si="0"/>
        <v>374</v>
      </c>
      <c r="Q23" s="6" t="s">
        <v>117</v>
      </c>
      <c r="R23" s="6" t="s">
        <v>118</v>
      </c>
    </row>
    <row r="24" spans="1:18" ht="15" customHeight="1" x14ac:dyDescent="0.35">
      <c r="A24" s="2" t="s">
        <v>164</v>
      </c>
      <c r="B24" s="3" t="s">
        <v>165</v>
      </c>
      <c r="C24" s="3">
        <v>1</v>
      </c>
      <c r="D24" s="3" t="s">
        <v>37</v>
      </c>
      <c r="E24" s="3" t="s">
        <v>16</v>
      </c>
      <c r="F24" s="3">
        <v>1</v>
      </c>
      <c r="G24" s="4">
        <v>249</v>
      </c>
      <c r="H24" s="3" t="s">
        <v>116</v>
      </c>
      <c r="I24" s="3" t="s">
        <v>116</v>
      </c>
      <c r="J24" s="3" t="s">
        <v>116</v>
      </c>
      <c r="K24" s="3" t="s">
        <v>116</v>
      </c>
      <c r="L24" s="3" t="s">
        <v>116</v>
      </c>
      <c r="M24" s="3" t="s">
        <v>116</v>
      </c>
      <c r="N24" s="3" t="s">
        <v>116</v>
      </c>
      <c r="O24" s="3" t="s">
        <v>116</v>
      </c>
      <c r="P24" s="4">
        <f t="shared" si="0"/>
        <v>249</v>
      </c>
      <c r="Q24" s="3" t="s">
        <v>145</v>
      </c>
      <c r="R24" s="3" t="s">
        <v>118</v>
      </c>
    </row>
    <row r="25" spans="1:18" ht="15" customHeight="1" x14ac:dyDescent="0.35">
      <c r="A25" s="5" t="s">
        <v>166</v>
      </c>
      <c r="B25" s="6" t="s">
        <v>167</v>
      </c>
      <c r="C25" s="6">
        <v>3</v>
      </c>
      <c r="D25" s="6" t="s">
        <v>32</v>
      </c>
      <c r="E25" s="6" t="s">
        <v>11</v>
      </c>
      <c r="F25" s="6">
        <v>1</v>
      </c>
      <c r="G25" s="7">
        <v>299</v>
      </c>
      <c r="H25" s="6" t="s">
        <v>60</v>
      </c>
      <c r="I25" s="6" t="s">
        <v>10</v>
      </c>
      <c r="J25" s="6">
        <v>1</v>
      </c>
      <c r="K25" s="7">
        <v>120</v>
      </c>
      <c r="L25" s="6" t="s">
        <v>34</v>
      </c>
      <c r="M25" s="6" t="s">
        <v>16</v>
      </c>
      <c r="N25" s="6">
        <v>1</v>
      </c>
      <c r="O25" s="7">
        <v>225</v>
      </c>
      <c r="P25" s="14">
        <f t="shared" si="0"/>
        <v>644</v>
      </c>
      <c r="Q25" s="6" t="s">
        <v>117</v>
      </c>
      <c r="R25" s="6" t="s">
        <v>118</v>
      </c>
    </row>
    <row r="26" spans="1:18" ht="15" customHeight="1" x14ac:dyDescent="0.35">
      <c r="A26" s="2" t="s">
        <v>168</v>
      </c>
      <c r="B26" s="3" t="s">
        <v>169</v>
      </c>
      <c r="C26" s="3">
        <v>2</v>
      </c>
      <c r="D26" s="3" t="s">
        <v>27</v>
      </c>
      <c r="E26" s="3" t="s">
        <v>10</v>
      </c>
      <c r="F26" s="3">
        <v>2</v>
      </c>
      <c r="G26" s="4">
        <v>175</v>
      </c>
      <c r="H26" s="3" t="s">
        <v>21</v>
      </c>
      <c r="I26" s="3" t="s">
        <v>16</v>
      </c>
      <c r="J26" s="3">
        <v>1</v>
      </c>
      <c r="K26" s="4">
        <v>199</v>
      </c>
      <c r="L26" s="3" t="s">
        <v>116</v>
      </c>
      <c r="M26" s="3" t="s">
        <v>116</v>
      </c>
      <c r="N26" s="3" t="s">
        <v>116</v>
      </c>
      <c r="O26" s="3" t="s">
        <v>116</v>
      </c>
      <c r="P26" s="4">
        <f t="shared" si="0"/>
        <v>549</v>
      </c>
      <c r="Q26" s="3" t="s">
        <v>117</v>
      </c>
      <c r="R26" s="3" t="s">
        <v>118</v>
      </c>
    </row>
    <row r="27" spans="1:18" ht="15" customHeight="1" x14ac:dyDescent="0.35">
      <c r="A27" s="5" t="s">
        <v>170</v>
      </c>
      <c r="B27" s="6" t="s">
        <v>171</v>
      </c>
      <c r="C27" s="6">
        <v>1</v>
      </c>
      <c r="D27" s="6" t="s">
        <v>45</v>
      </c>
      <c r="E27" s="6" t="s">
        <v>16</v>
      </c>
      <c r="F27" s="6">
        <v>1</v>
      </c>
      <c r="G27" s="7">
        <v>279</v>
      </c>
      <c r="H27" s="6" t="s">
        <v>116</v>
      </c>
      <c r="I27" s="6" t="s">
        <v>116</v>
      </c>
      <c r="J27" s="6" t="s">
        <v>116</v>
      </c>
      <c r="K27" s="6" t="s">
        <v>116</v>
      </c>
      <c r="L27" s="6" t="s">
        <v>116</v>
      </c>
      <c r="M27" s="6" t="s">
        <v>116</v>
      </c>
      <c r="N27" s="6" t="s">
        <v>116</v>
      </c>
      <c r="O27" s="6" t="s">
        <v>116</v>
      </c>
      <c r="P27" s="14">
        <f t="shared" si="0"/>
        <v>279</v>
      </c>
      <c r="Q27" s="6" t="s">
        <v>117</v>
      </c>
      <c r="R27" s="6" t="s">
        <v>118</v>
      </c>
    </row>
    <row r="28" spans="1:18" ht="15" customHeight="1" x14ac:dyDescent="0.35">
      <c r="A28" s="2" t="s">
        <v>172</v>
      </c>
      <c r="B28" s="3" t="s">
        <v>173</v>
      </c>
      <c r="C28" s="3">
        <v>3</v>
      </c>
      <c r="D28" s="3" t="s">
        <v>29</v>
      </c>
      <c r="E28" s="3" t="s">
        <v>11</v>
      </c>
      <c r="F28" s="3">
        <v>1</v>
      </c>
      <c r="G28" s="4">
        <v>399</v>
      </c>
      <c r="H28" s="3" t="s">
        <v>55</v>
      </c>
      <c r="I28" s="3" t="s">
        <v>10</v>
      </c>
      <c r="J28" s="3">
        <v>1</v>
      </c>
      <c r="K28" s="4">
        <v>99</v>
      </c>
      <c r="L28" s="3" t="s">
        <v>34</v>
      </c>
      <c r="M28" s="3" t="s">
        <v>16</v>
      </c>
      <c r="N28" s="3">
        <v>1</v>
      </c>
      <c r="O28" s="4">
        <v>225</v>
      </c>
      <c r="P28" s="4">
        <f t="shared" si="0"/>
        <v>723</v>
      </c>
      <c r="Q28" s="3" t="s">
        <v>117</v>
      </c>
      <c r="R28" s="3" t="s">
        <v>118</v>
      </c>
    </row>
    <row r="29" spans="1:18" ht="15" customHeight="1" x14ac:dyDescent="0.35">
      <c r="A29" s="5" t="s">
        <v>174</v>
      </c>
      <c r="B29" s="6" t="s">
        <v>175</v>
      </c>
      <c r="C29" s="6">
        <v>2</v>
      </c>
      <c r="D29" s="6" t="s">
        <v>40</v>
      </c>
      <c r="E29" s="6" t="s">
        <v>10</v>
      </c>
      <c r="F29" s="6">
        <v>1</v>
      </c>
      <c r="G29" s="7">
        <v>299</v>
      </c>
      <c r="H29" s="6" t="s">
        <v>37</v>
      </c>
      <c r="I29" s="6" t="s">
        <v>16</v>
      </c>
      <c r="J29" s="6">
        <v>1</v>
      </c>
      <c r="K29" s="7">
        <v>249</v>
      </c>
      <c r="L29" s="6" t="s">
        <v>116</v>
      </c>
      <c r="M29" s="6" t="s">
        <v>116</v>
      </c>
      <c r="N29" s="6" t="s">
        <v>116</v>
      </c>
      <c r="O29" s="6" t="s">
        <v>116</v>
      </c>
      <c r="P29" s="14">
        <f t="shared" si="0"/>
        <v>548</v>
      </c>
      <c r="Q29" s="6" t="s">
        <v>117</v>
      </c>
      <c r="R29" s="6" t="s">
        <v>118</v>
      </c>
    </row>
    <row r="30" spans="1:18" ht="15" customHeight="1" x14ac:dyDescent="0.35">
      <c r="A30" s="2" t="s">
        <v>176</v>
      </c>
      <c r="B30" s="3" t="s">
        <v>177</v>
      </c>
      <c r="C30" s="3">
        <v>1</v>
      </c>
      <c r="D30" s="3" t="s">
        <v>21</v>
      </c>
      <c r="E30" s="3" t="s">
        <v>16</v>
      </c>
      <c r="F30" s="3">
        <v>2</v>
      </c>
      <c r="G30" s="4">
        <v>199</v>
      </c>
      <c r="H30" s="3" t="s">
        <v>116</v>
      </c>
      <c r="I30" s="3" t="s">
        <v>116</v>
      </c>
      <c r="J30" s="3" t="s">
        <v>116</v>
      </c>
      <c r="K30" s="3" t="s">
        <v>116</v>
      </c>
      <c r="L30" s="3" t="s">
        <v>116</v>
      </c>
      <c r="M30" s="3" t="s">
        <v>116</v>
      </c>
      <c r="N30" s="3" t="s">
        <v>116</v>
      </c>
      <c r="O30" s="3" t="s">
        <v>116</v>
      </c>
      <c r="P30" s="4">
        <f t="shared" si="0"/>
        <v>398</v>
      </c>
      <c r="Q30" s="3" t="s">
        <v>117</v>
      </c>
      <c r="R30" s="3" t="s">
        <v>118</v>
      </c>
    </row>
    <row r="31" spans="1:18" ht="15" customHeight="1" x14ac:dyDescent="0.35">
      <c r="A31" s="5" t="s">
        <v>178</v>
      </c>
      <c r="B31" s="6" t="s">
        <v>179</v>
      </c>
      <c r="C31" s="6">
        <v>3</v>
      </c>
      <c r="D31" s="6" t="s">
        <v>23</v>
      </c>
      <c r="E31" s="6" t="s">
        <v>11</v>
      </c>
      <c r="F31" s="6">
        <v>1</v>
      </c>
      <c r="G31" s="7">
        <v>449</v>
      </c>
      <c r="H31" s="6" t="s">
        <v>9</v>
      </c>
      <c r="I31" s="6" t="s">
        <v>10</v>
      </c>
      <c r="J31" s="6">
        <v>1</v>
      </c>
      <c r="K31" s="7">
        <v>175</v>
      </c>
      <c r="L31" s="6" t="s">
        <v>45</v>
      </c>
      <c r="M31" s="6" t="s">
        <v>16</v>
      </c>
      <c r="N31" s="6">
        <v>1</v>
      </c>
      <c r="O31" s="7">
        <v>279</v>
      </c>
      <c r="P31" s="14">
        <f t="shared" si="0"/>
        <v>903</v>
      </c>
      <c r="Q31" s="6" t="s">
        <v>123</v>
      </c>
      <c r="R31" s="6" t="s">
        <v>118</v>
      </c>
    </row>
    <row r="32" spans="1:18" ht="23.9" customHeight="1" x14ac:dyDescent="0.35">
      <c r="A32" s="2" t="s">
        <v>180</v>
      </c>
      <c r="B32" s="3" t="s">
        <v>181</v>
      </c>
      <c r="C32" s="3">
        <v>2</v>
      </c>
      <c r="D32" s="3" t="s">
        <v>62</v>
      </c>
      <c r="E32" s="3" t="s">
        <v>19</v>
      </c>
      <c r="F32" s="3">
        <v>1</v>
      </c>
      <c r="G32" s="4">
        <v>175</v>
      </c>
      <c r="H32" s="3" t="s">
        <v>34</v>
      </c>
      <c r="I32" s="3" t="s">
        <v>16</v>
      </c>
      <c r="J32" s="3">
        <v>1</v>
      </c>
      <c r="K32" s="4">
        <v>225</v>
      </c>
      <c r="L32" s="3" t="s">
        <v>116</v>
      </c>
      <c r="M32" s="3" t="s">
        <v>116</v>
      </c>
      <c r="N32" s="3" t="s">
        <v>116</v>
      </c>
      <c r="O32" s="3" t="s">
        <v>116</v>
      </c>
      <c r="P32" s="4">
        <f t="shared" si="0"/>
        <v>400</v>
      </c>
      <c r="Q32" s="3" t="s">
        <v>117</v>
      </c>
      <c r="R32" s="3" t="s">
        <v>118</v>
      </c>
    </row>
    <row r="33" spans="1:18" ht="15" customHeight="1" x14ac:dyDescent="0.35">
      <c r="A33" s="5" t="s">
        <v>182</v>
      </c>
      <c r="B33" s="6" t="s">
        <v>183</v>
      </c>
      <c r="C33" s="6">
        <v>2</v>
      </c>
      <c r="D33" s="6" t="s">
        <v>57</v>
      </c>
      <c r="E33" s="6" t="s">
        <v>11</v>
      </c>
      <c r="F33" s="6">
        <v>1</v>
      </c>
      <c r="G33" s="7">
        <v>249</v>
      </c>
      <c r="H33" s="6" t="s">
        <v>15</v>
      </c>
      <c r="I33" s="6" t="s">
        <v>11</v>
      </c>
      <c r="J33" s="6">
        <v>1</v>
      </c>
      <c r="K33" s="7">
        <v>349</v>
      </c>
      <c r="L33" s="6" t="s">
        <v>116</v>
      </c>
      <c r="M33" s="6" t="s">
        <v>116</v>
      </c>
      <c r="N33" s="6" t="s">
        <v>116</v>
      </c>
      <c r="O33" s="6" t="s">
        <v>116</v>
      </c>
      <c r="P33" s="14">
        <f t="shared" si="0"/>
        <v>598</v>
      </c>
      <c r="Q33" s="6" t="s">
        <v>117</v>
      </c>
      <c r="R33" s="6" t="s">
        <v>118</v>
      </c>
    </row>
    <row r="34" spans="1:18" ht="23.9" customHeight="1" x14ac:dyDescent="0.35">
      <c r="A34" s="2" t="s">
        <v>184</v>
      </c>
      <c r="B34" s="3" t="s">
        <v>185</v>
      </c>
      <c r="C34" s="3">
        <v>3</v>
      </c>
      <c r="D34" s="3" t="s">
        <v>83</v>
      </c>
      <c r="E34" s="3" t="s">
        <v>10</v>
      </c>
      <c r="F34" s="3">
        <v>1</v>
      </c>
      <c r="G34" s="4">
        <v>350</v>
      </c>
      <c r="H34" s="3" t="s">
        <v>47</v>
      </c>
      <c r="I34" s="3" t="s">
        <v>10</v>
      </c>
      <c r="J34" s="3">
        <v>1</v>
      </c>
      <c r="K34" s="4">
        <v>275</v>
      </c>
      <c r="L34" s="3" t="s">
        <v>41</v>
      </c>
      <c r="M34" s="3" t="s">
        <v>10</v>
      </c>
      <c r="N34" s="3">
        <v>1</v>
      </c>
      <c r="O34" s="4">
        <v>299</v>
      </c>
      <c r="P34" s="4">
        <f t="shared" ref="P34:P65" si="1">IFERROR(F34*G34,0)+IFERROR(J34*K34,0)+IFERROR(N34*O34,0)</f>
        <v>924</v>
      </c>
      <c r="Q34" s="3" t="s">
        <v>117</v>
      </c>
      <c r="R34" s="3" t="s">
        <v>118</v>
      </c>
    </row>
    <row r="35" spans="1:18" ht="15" customHeight="1" x14ac:dyDescent="0.35">
      <c r="A35" s="5" t="s">
        <v>186</v>
      </c>
      <c r="B35" s="6" t="s">
        <v>187</v>
      </c>
      <c r="C35" s="6">
        <v>2</v>
      </c>
      <c r="D35" s="6" t="s">
        <v>56</v>
      </c>
      <c r="E35" s="6" t="s">
        <v>11</v>
      </c>
      <c r="F35" s="6">
        <v>1</v>
      </c>
      <c r="G35" s="7">
        <v>249</v>
      </c>
      <c r="H35" s="6" t="s">
        <v>18</v>
      </c>
      <c r="I35" s="6" t="s">
        <v>11</v>
      </c>
      <c r="J35" s="6">
        <v>1</v>
      </c>
      <c r="K35" s="7">
        <v>349</v>
      </c>
      <c r="L35" s="6" t="s">
        <v>116</v>
      </c>
      <c r="M35" s="6" t="s">
        <v>116</v>
      </c>
      <c r="N35" s="6" t="s">
        <v>116</v>
      </c>
      <c r="O35" s="6" t="s">
        <v>116</v>
      </c>
      <c r="P35" s="14">
        <f t="shared" si="1"/>
        <v>598</v>
      </c>
      <c r="Q35" s="6" t="s">
        <v>117</v>
      </c>
      <c r="R35" s="6" t="s">
        <v>118</v>
      </c>
    </row>
    <row r="36" spans="1:18" ht="15" customHeight="1" x14ac:dyDescent="0.35">
      <c r="A36" s="2" t="s">
        <v>188</v>
      </c>
      <c r="B36" s="3" t="s">
        <v>189</v>
      </c>
      <c r="C36" s="3">
        <v>1</v>
      </c>
      <c r="D36" s="3" t="s">
        <v>55</v>
      </c>
      <c r="E36" s="3" t="s">
        <v>10</v>
      </c>
      <c r="F36" s="3">
        <v>1</v>
      </c>
      <c r="G36" s="4">
        <v>99</v>
      </c>
      <c r="H36" s="3" t="s">
        <v>116</v>
      </c>
      <c r="I36" s="3" t="s">
        <v>116</v>
      </c>
      <c r="J36" s="3" t="s">
        <v>116</v>
      </c>
      <c r="K36" s="3" t="s">
        <v>116</v>
      </c>
      <c r="L36" s="3" t="s">
        <v>116</v>
      </c>
      <c r="M36" s="3" t="s">
        <v>116</v>
      </c>
      <c r="N36" s="3" t="s">
        <v>116</v>
      </c>
      <c r="O36" s="3" t="s">
        <v>116</v>
      </c>
      <c r="P36" s="4">
        <f t="shared" si="1"/>
        <v>99</v>
      </c>
      <c r="Q36" s="3" t="s">
        <v>117</v>
      </c>
      <c r="R36" s="3" t="s">
        <v>118</v>
      </c>
    </row>
    <row r="37" spans="1:18" ht="15" customHeight="1" x14ac:dyDescent="0.35">
      <c r="A37" s="5" t="s">
        <v>190</v>
      </c>
      <c r="B37" s="6" t="s">
        <v>191</v>
      </c>
      <c r="C37" s="6">
        <v>1</v>
      </c>
      <c r="D37" s="6" t="s">
        <v>25</v>
      </c>
      <c r="E37" s="6" t="s">
        <v>11</v>
      </c>
      <c r="F37" s="6">
        <v>1</v>
      </c>
      <c r="G37" s="7">
        <v>249</v>
      </c>
      <c r="H37" s="6" t="s">
        <v>116</v>
      </c>
      <c r="I37" s="6" t="s">
        <v>116</v>
      </c>
      <c r="J37" s="6" t="s">
        <v>116</v>
      </c>
      <c r="K37" s="6" t="s">
        <v>116</v>
      </c>
      <c r="L37" s="6" t="s">
        <v>116</v>
      </c>
      <c r="M37" s="6" t="s">
        <v>116</v>
      </c>
      <c r="N37" s="6" t="s">
        <v>116</v>
      </c>
      <c r="O37" s="6" t="s">
        <v>116</v>
      </c>
      <c r="P37" s="14">
        <f t="shared" si="1"/>
        <v>249</v>
      </c>
      <c r="Q37" s="6" t="s">
        <v>117</v>
      </c>
      <c r="R37" s="6" t="s">
        <v>118</v>
      </c>
    </row>
    <row r="38" spans="1:18" ht="23.9" customHeight="1" x14ac:dyDescent="0.35">
      <c r="A38" s="2" t="s">
        <v>192</v>
      </c>
      <c r="B38" s="3" t="s">
        <v>193</v>
      </c>
      <c r="C38" s="3">
        <v>3</v>
      </c>
      <c r="D38" s="3" t="s">
        <v>58</v>
      </c>
      <c r="E38" s="3" t="s">
        <v>11</v>
      </c>
      <c r="F38" s="3">
        <v>1</v>
      </c>
      <c r="G38" s="4">
        <v>249</v>
      </c>
      <c r="H38" s="3" t="s">
        <v>69</v>
      </c>
      <c r="I38" s="3" t="s">
        <v>10</v>
      </c>
      <c r="J38" s="3">
        <v>1</v>
      </c>
      <c r="K38" s="4">
        <v>125</v>
      </c>
      <c r="L38" s="3" t="s">
        <v>93</v>
      </c>
      <c r="M38" s="3" t="s">
        <v>16</v>
      </c>
      <c r="N38" s="3">
        <v>1</v>
      </c>
      <c r="O38" s="4">
        <v>50</v>
      </c>
      <c r="P38" s="4">
        <f t="shared" si="1"/>
        <v>424</v>
      </c>
      <c r="Q38" s="3" t="s">
        <v>117</v>
      </c>
      <c r="R38" s="3" t="s">
        <v>118</v>
      </c>
    </row>
    <row r="39" spans="1:18" ht="15" customHeight="1" x14ac:dyDescent="0.35">
      <c r="A39" s="5" t="s">
        <v>194</v>
      </c>
      <c r="B39" s="6" t="s">
        <v>195</v>
      </c>
      <c r="C39" s="6">
        <v>1</v>
      </c>
      <c r="D39" s="6" t="s">
        <v>79</v>
      </c>
      <c r="E39" s="6" t="s">
        <v>19</v>
      </c>
      <c r="F39" s="6">
        <v>1</v>
      </c>
      <c r="G39" s="7">
        <v>199</v>
      </c>
      <c r="H39" s="6" t="s">
        <v>116</v>
      </c>
      <c r="I39" s="6" t="s">
        <v>116</v>
      </c>
      <c r="J39" s="6" t="s">
        <v>116</v>
      </c>
      <c r="K39" s="6" t="s">
        <v>116</v>
      </c>
      <c r="L39" s="6" t="s">
        <v>116</v>
      </c>
      <c r="M39" s="6" t="s">
        <v>116</v>
      </c>
      <c r="N39" s="6" t="s">
        <v>116</v>
      </c>
      <c r="O39" s="6" t="s">
        <v>116</v>
      </c>
      <c r="P39" s="14">
        <f t="shared" si="1"/>
        <v>199</v>
      </c>
      <c r="Q39" s="6" t="s">
        <v>117</v>
      </c>
      <c r="R39" s="6" t="s">
        <v>118</v>
      </c>
    </row>
    <row r="40" spans="1:18" ht="15" customHeight="1" x14ac:dyDescent="0.35">
      <c r="A40" s="2" t="s">
        <v>196</v>
      </c>
      <c r="B40" s="3" t="s">
        <v>197</v>
      </c>
      <c r="C40" s="3">
        <v>1</v>
      </c>
      <c r="D40" s="3" t="s">
        <v>15</v>
      </c>
      <c r="E40" s="3" t="s">
        <v>11</v>
      </c>
      <c r="F40" s="3">
        <v>1</v>
      </c>
      <c r="G40" s="4">
        <v>349</v>
      </c>
      <c r="H40" s="3" t="s">
        <v>116</v>
      </c>
      <c r="I40" s="3" t="s">
        <v>116</v>
      </c>
      <c r="J40" s="3" t="s">
        <v>116</v>
      </c>
      <c r="K40" s="3" t="s">
        <v>116</v>
      </c>
      <c r="L40" s="3" t="s">
        <v>116</v>
      </c>
      <c r="M40" s="3" t="s">
        <v>116</v>
      </c>
      <c r="N40" s="3" t="s">
        <v>116</v>
      </c>
      <c r="O40" s="3" t="s">
        <v>116</v>
      </c>
      <c r="P40" s="4">
        <f t="shared" si="1"/>
        <v>349</v>
      </c>
      <c r="Q40" s="3" t="s">
        <v>117</v>
      </c>
      <c r="R40" s="3" t="s">
        <v>118</v>
      </c>
    </row>
    <row r="41" spans="1:18" ht="15" customHeight="1" x14ac:dyDescent="0.35">
      <c r="A41" s="5" t="s">
        <v>198</v>
      </c>
      <c r="B41" s="6" t="s">
        <v>199</v>
      </c>
      <c r="C41" s="6">
        <v>3</v>
      </c>
      <c r="D41" s="6" t="s">
        <v>38</v>
      </c>
      <c r="E41" s="6" t="s">
        <v>11</v>
      </c>
      <c r="F41" s="6">
        <v>1</v>
      </c>
      <c r="G41" s="7">
        <v>299</v>
      </c>
      <c r="H41" s="6" t="s">
        <v>48</v>
      </c>
      <c r="I41" s="6" t="s">
        <v>10</v>
      </c>
      <c r="J41" s="6">
        <v>1</v>
      </c>
      <c r="K41" s="7">
        <v>275</v>
      </c>
      <c r="L41" s="6" t="s">
        <v>77</v>
      </c>
      <c r="M41" s="6" t="s">
        <v>11</v>
      </c>
      <c r="N41" s="6">
        <v>1</v>
      </c>
      <c r="O41" s="7">
        <v>199</v>
      </c>
      <c r="P41" s="14">
        <f t="shared" si="1"/>
        <v>773</v>
      </c>
      <c r="Q41" s="6" t="s">
        <v>123</v>
      </c>
      <c r="R41" s="6" t="s">
        <v>118</v>
      </c>
    </row>
    <row r="42" spans="1:18" ht="23.9" customHeight="1" x14ac:dyDescent="0.35">
      <c r="A42" s="2" t="s">
        <v>200</v>
      </c>
      <c r="B42" s="3" t="s">
        <v>201</v>
      </c>
      <c r="C42" s="3">
        <v>3</v>
      </c>
      <c r="D42" s="3" t="s">
        <v>41</v>
      </c>
      <c r="E42" s="3" t="s">
        <v>10</v>
      </c>
      <c r="F42" s="3">
        <v>1</v>
      </c>
      <c r="G42" s="4">
        <v>299</v>
      </c>
      <c r="H42" s="3" t="s">
        <v>52</v>
      </c>
      <c r="I42" s="3" t="s">
        <v>10</v>
      </c>
      <c r="J42" s="3">
        <v>1</v>
      </c>
      <c r="K42" s="4">
        <v>199</v>
      </c>
      <c r="L42" s="3" t="s">
        <v>54</v>
      </c>
      <c r="M42" s="3" t="s">
        <v>19</v>
      </c>
      <c r="N42" s="3">
        <v>1</v>
      </c>
      <c r="O42" s="4">
        <v>199</v>
      </c>
      <c r="P42" s="4">
        <f t="shared" si="1"/>
        <v>697</v>
      </c>
      <c r="Q42" s="3" t="s">
        <v>117</v>
      </c>
      <c r="R42" s="3" t="s">
        <v>118</v>
      </c>
    </row>
    <row r="43" spans="1:18" ht="15" customHeight="1" x14ac:dyDescent="0.35">
      <c r="A43" s="5" t="s">
        <v>202</v>
      </c>
      <c r="B43" s="6" t="s">
        <v>203</v>
      </c>
      <c r="C43" s="6">
        <v>2</v>
      </c>
      <c r="D43" s="6" t="s">
        <v>18</v>
      </c>
      <c r="E43" s="6" t="s">
        <v>11</v>
      </c>
      <c r="F43" s="6">
        <v>1</v>
      </c>
      <c r="G43" s="7">
        <v>349</v>
      </c>
      <c r="H43" s="6" t="s">
        <v>21</v>
      </c>
      <c r="I43" s="6" t="s">
        <v>16</v>
      </c>
      <c r="J43" s="6">
        <v>1</v>
      </c>
      <c r="K43" s="7">
        <v>199</v>
      </c>
      <c r="L43" s="6" t="s">
        <v>116</v>
      </c>
      <c r="M43" s="6" t="s">
        <v>116</v>
      </c>
      <c r="N43" s="6" t="s">
        <v>116</v>
      </c>
      <c r="O43" s="6" t="s">
        <v>116</v>
      </c>
      <c r="P43" s="14">
        <f t="shared" si="1"/>
        <v>548</v>
      </c>
      <c r="Q43" s="6" t="s">
        <v>117</v>
      </c>
      <c r="R43" s="6" t="s">
        <v>118</v>
      </c>
    </row>
    <row r="44" spans="1:18" ht="15" customHeight="1" x14ac:dyDescent="0.35">
      <c r="A44" s="2" t="s">
        <v>204</v>
      </c>
      <c r="B44" s="3" t="s">
        <v>205</v>
      </c>
      <c r="C44" s="3">
        <v>1</v>
      </c>
      <c r="D44" s="3" t="s">
        <v>48</v>
      </c>
      <c r="E44" s="3" t="s">
        <v>10</v>
      </c>
      <c r="F44" s="3">
        <v>2</v>
      </c>
      <c r="G44" s="4">
        <v>275</v>
      </c>
      <c r="H44" s="3" t="s">
        <v>116</v>
      </c>
      <c r="I44" s="3" t="s">
        <v>116</v>
      </c>
      <c r="J44" s="3" t="s">
        <v>116</v>
      </c>
      <c r="K44" s="3" t="s">
        <v>116</v>
      </c>
      <c r="L44" s="3" t="s">
        <v>116</v>
      </c>
      <c r="M44" s="3" t="s">
        <v>116</v>
      </c>
      <c r="N44" s="3" t="s">
        <v>116</v>
      </c>
      <c r="O44" s="3" t="s">
        <v>116</v>
      </c>
      <c r="P44" s="4">
        <f t="shared" si="1"/>
        <v>550</v>
      </c>
      <c r="Q44" s="3" t="s">
        <v>117</v>
      </c>
      <c r="R44" s="3" t="s">
        <v>118</v>
      </c>
    </row>
    <row r="45" spans="1:18" ht="15" customHeight="1" x14ac:dyDescent="0.35">
      <c r="A45" s="5" t="s">
        <v>206</v>
      </c>
      <c r="B45" s="6" t="s">
        <v>207</v>
      </c>
      <c r="C45" s="6">
        <v>3</v>
      </c>
      <c r="D45" s="6" t="s">
        <v>58</v>
      </c>
      <c r="E45" s="6" t="s">
        <v>11</v>
      </c>
      <c r="F45" s="6">
        <v>1</v>
      </c>
      <c r="G45" s="7">
        <v>249</v>
      </c>
      <c r="H45" s="6" t="s">
        <v>34</v>
      </c>
      <c r="I45" s="6" t="s">
        <v>16</v>
      </c>
      <c r="J45" s="6">
        <v>1</v>
      </c>
      <c r="K45" s="7">
        <v>225</v>
      </c>
      <c r="L45" s="6" t="s">
        <v>60</v>
      </c>
      <c r="M45" s="6" t="s">
        <v>10</v>
      </c>
      <c r="N45" s="6">
        <v>1</v>
      </c>
      <c r="O45" s="7">
        <v>120</v>
      </c>
      <c r="P45" s="14">
        <f t="shared" si="1"/>
        <v>594</v>
      </c>
      <c r="Q45" s="6" t="s">
        <v>117</v>
      </c>
      <c r="R45" s="6" t="s">
        <v>118</v>
      </c>
    </row>
    <row r="46" spans="1:18" ht="15" customHeight="1" x14ac:dyDescent="0.35">
      <c r="A46" s="2" t="s">
        <v>208</v>
      </c>
      <c r="B46" s="3" t="s">
        <v>209</v>
      </c>
      <c r="C46" s="3">
        <v>2</v>
      </c>
      <c r="D46" s="3" t="s">
        <v>79</v>
      </c>
      <c r="E46" s="3" t="s">
        <v>19</v>
      </c>
      <c r="F46" s="3">
        <v>1</v>
      </c>
      <c r="G46" s="4">
        <v>199</v>
      </c>
      <c r="H46" s="3" t="s">
        <v>55</v>
      </c>
      <c r="I46" s="3" t="s">
        <v>10</v>
      </c>
      <c r="J46" s="3">
        <v>1</v>
      </c>
      <c r="K46" s="4">
        <v>99</v>
      </c>
      <c r="L46" s="3" t="s">
        <v>116</v>
      </c>
      <c r="M46" s="3" t="s">
        <v>116</v>
      </c>
      <c r="N46" s="3" t="s">
        <v>116</v>
      </c>
      <c r="O46" s="3" t="s">
        <v>116</v>
      </c>
      <c r="P46" s="4">
        <f t="shared" si="1"/>
        <v>298</v>
      </c>
      <c r="Q46" s="3" t="s">
        <v>117</v>
      </c>
      <c r="R46" s="3" t="s">
        <v>118</v>
      </c>
    </row>
    <row r="47" spans="1:18" ht="23.9" customHeight="1" x14ac:dyDescent="0.35">
      <c r="A47" s="5" t="s">
        <v>210</v>
      </c>
      <c r="B47" s="6" t="s">
        <v>211</v>
      </c>
      <c r="C47" s="6">
        <v>1</v>
      </c>
      <c r="D47" s="6" t="s">
        <v>93</v>
      </c>
      <c r="E47" s="6" t="s">
        <v>16</v>
      </c>
      <c r="F47" s="6">
        <v>2</v>
      </c>
      <c r="G47" s="7">
        <v>50</v>
      </c>
      <c r="H47" s="6" t="s">
        <v>116</v>
      </c>
      <c r="I47" s="6" t="s">
        <v>116</v>
      </c>
      <c r="J47" s="6" t="s">
        <v>116</v>
      </c>
      <c r="K47" s="6" t="s">
        <v>116</v>
      </c>
      <c r="L47" s="6" t="s">
        <v>116</v>
      </c>
      <c r="M47" s="6" t="s">
        <v>116</v>
      </c>
      <c r="N47" s="6" t="s">
        <v>116</v>
      </c>
      <c r="O47" s="6" t="s">
        <v>116</v>
      </c>
      <c r="P47" s="14">
        <f t="shared" si="1"/>
        <v>100</v>
      </c>
      <c r="Q47" s="6" t="s">
        <v>145</v>
      </c>
      <c r="R47" s="6" t="s">
        <v>118</v>
      </c>
    </row>
    <row r="48" spans="1:18" ht="15" customHeight="1" x14ac:dyDescent="0.35">
      <c r="A48" s="2" t="s">
        <v>212</v>
      </c>
      <c r="B48" s="3" t="s">
        <v>213</v>
      </c>
      <c r="C48" s="3">
        <v>3</v>
      </c>
      <c r="D48" s="3" t="s">
        <v>77</v>
      </c>
      <c r="E48" s="3" t="s">
        <v>11</v>
      </c>
      <c r="F48" s="3">
        <v>1</v>
      </c>
      <c r="G48" s="4">
        <v>199</v>
      </c>
      <c r="H48" s="3" t="s">
        <v>47</v>
      </c>
      <c r="I48" s="3" t="s">
        <v>10</v>
      </c>
      <c r="J48" s="3">
        <v>1</v>
      </c>
      <c r="K48" s="4">
        <v>275</v>
      </c>
      <c r="L48" s="3" t="s">
        <v>37</v>
      </c>
      <c r="M48" s="3" t="s">
        <v>16</v>
      </c>
      <c r="N48" s="3">
        <v>1</v>
      </c>
      <c r="O48" s="4">
        <v>249</v>
      </c>
      <c r="P48" s="4">
        <f t="shared" si="1"/>
        <v>723</v>
      </c>
      <c r="Q48" s="3" t="s">
        <v>117</v>
      </c>
      <c r="R48" s="3" t="s">
        <v>118</v>
      </c>
    </row>
    <row r="49" spans="1:18" ht="15" customHeight="1" x14ac:dyDescent="0.35">
      <c r="A49" s="5" t="s">
        <v>214</v>
      </c>
      <c r="B49" s="6" t="s">
        <v>215</v>
      </c>
      <c r="C49" s="6">
        <v>2</v>
      </c>
      <c r="D49" s="6" t="s">
        <v>52</v>
      </c>
      <c r="E49" s="6" t="s">
        <v>10</v>
      </c>
      <c r="F49" s="6">
        <v>1</v>
      </c>
      <c r="G49" s="7">
        <v>199</v>
      </c>
      <c r="H49" s="6" t="s">
        <v>57</v>
      </c>
      <c r="I49" s="6" t="s">
        <v>11</v>
      </c>
      <c r="J49" s="6">
        <v>1</v>
      </c>
      <c r="K49" s="7">
        <v>249</v>
      </c>
      <c r="L49" s="6" t="s">
        <v>116</v>
      </c>
      <c r="M49" s="6" t="s">
        <v>116</v>
      </c>
      <c r="N49" s="6" t="s">
        <v>116</v>
      </c>
      <c r="O49" s="6" t="s">
        <v>116</v>
      </c>
      <c r="P49" s="14">
        <f t="shared" si="1"/>
        <v>448</v>
      </c>
      <c r="Q49" s="6" t="s">
        <v>117</v>
      </c>
      <c r="R49" s="6" t="s">
        <v>118</v>
      </c>
    </row>
    <row r="50" spans="1:18" ht="23.9" customHeight="1" x14ac:dyDescent="0.35">
      <c r="A50" s="2" t="s">
        <v>216</v>
      </c>
      <c r="B50" s="3" t="s">
        <v>215</v>
      </c>
      <c r="C50" s="3">
        <v>3</v>
      </c>
      <c r="D50" s="3" t="s">
        <v>54</v>
      </c>
      <c r="E50" s="3" t="s">
        <v>19</v>
      </c>
      <c r="F50" s="3">
        <v>1</v>
      </c>
      <c r="G50" s="4">
        <v>199</v>
      </c>
      <c r="H50" s="3" t="s">
        <v>42</v>
      </c>
      <c r="I50" s="3" t="s">
        <v>10</v>
      </c>
      <c r="J50" s="3">
        <v>1</v>
      </c>
      <c r="K50" s="4">
        <v>175</v>
      </c>
      <c r="L50" s="3" t="s">
        <v>21</v>
      </c>
      <c r="M50" s="3" t="s">
        <v>16</v>
      </c>
      <c r="N50" s="3">
        <v>1</v>
      </c>
      <c r="O50" s="4">
        <v>199</v>
      </c>
      <c r="P50" s="4">
        <f t="shared" si="1"/>
        <v>573</v>
      </c>
      <c r="Q50" s="3" t="s">
        <v>117</v>
      </c>
      <c r="R50" s="3" t="s">
        <v>118</v>
      </c>
    </row>
    <row r="51" spans="1:18" ht="15" customHeight="1" x14ac:dyDescent="0.35">
      <c r="A51" s="5" t="s">
        <v>217</v>
      </c>
      <c r="B51" s="6" t="s">
        <v>218</v>
      </c>
      <c r="C51" s="6">
        <v>1</v>
      </c>
      <c r="D51" s="6" t="s">
        <v>38</v>
      </c>
      <c r="E51" s="6" t="s">
        <v>11</v>
      </c>
      <c r="F51" s="6">
        <v>1</v>
      </c>
      <c r="G51" s="7">
        <v>299</v>
      </c>
      <c r="H51" s="6" t="s">
        <v>116</v>
      </c>
      <c r="I51" s="6" t="s">
        <v>116</v>
      </c>
      <c r="J51" s="6" t="s">
        <v>116</v>
      </c>
      <c r="K51" s="6" t="s">
        <v>116</v>
      </c>
      <c r="L51" s="6" t="s">
        <v>116</v>
      </c>
      <c r="M51" s="6" t="s">
        <v>116</v>
      </c>
      <c r="N51" s="6" t="s">
        <v>116</v>
      </c>
      <c r="O51" s="6" t="s">
        <v>116</v>
      </c>
      <c r="P51" s="14">
        <f t="shared" si="1"/>
        <v>299</v>
      </c>
      <c r="Q51" s="6" t="s">
        <v>117</v>
      </c>
      <c r="R51" s="6" t="s">
        <v>136</v>
      </c>
    </row>
    <row r="52" spans="1:18" ht="23.9" customHeight="1" x14ac:dyDescent="0.35">
      <c r="A52" s="2" t="s">
        <v>219</v>
      </c>
      <c r="B52" s="3" t="s">
        <v>218</v>
      </c>
      <c r="C52" s="3">
        <v>2</v>
      </c>
      <c r="D52" s="3" t="s">
        <v>41</v>
      </c>
      <c r="E52" s="3" t="s">
        <v>10</v>
      </c>
      <c r="F52" s="3">
        <v>1</v>
      </c>
      <c r="G52" s="4">
        <v>299</v>
      </c>
      <c r="H52" s="3" t="s">
        <v>45</v>
      </c>
      <c r="I52" s="3" t="s">
        <v>16</v>
      </c>
      <c r="J52" s="3">
        <v>1</v>
      </c>
      <c r="K52" s="4">
        <v>279</v>
      </c>
      <c r="L52" s="3" t="s">
        <v>116</v>
      </c>
      <c r="M52" s="3" t="s">
        <v>116</v>
      </c>
      <c r="N52" s="3" t="s">
        <v>116</v>
      </c>
      <c r="O52" s="3" t="s">
        <v>116</v>
      </c>
      <c r="P52" s="4">
        <f t="shared" si="1"/>
        <v>578</v>
      </c>
      <c r="Q52" s="3" t="s">
        <v>117</v>
      </c>
      <c r="R52" s="3" t="s">
        <v>118</v>
      </c>
    </row>
    <row r="53" spans="1:18" ht="15" customHeight="1" x14ac:dyDescent="0.35">
      <c r="A53" s="5" t="s">
        <v>220</v>
      </c>
      <c r="B53" s="6" t="s">
        <v>221</v>
      </c>
      <c r="C53" s="6">
        <v>2</v>
      </c>
      <c r="D53" s="6" t="s">
        <v>50</v>
      </c>
      <c r="E53" s="6" t="s">
        <v>19</v>
      </c>
      <c r="F53" s="6">
        <v>1</v>
      </c>
      <c r="G53" s="7">
        <v>275</v>
      </c>
      <c r="H53" s="6" t="s">
        <v>81</v>
      </c>
      <c r="I53" s="6" t="s">
        <v>10</v>
      </c>
      <c r="J53" s="6">
        <v>1</v>
      </c>
      <c r="K53" s="7">
        <v>125</v>
      </c>
      <c r="L53" s="6" t="s">
        <v>116</v>
      </c>
      <c r="M53" s="6" t="s">
        <v>116</v>
      </c>
      <c r="N53" s="6" t="s">
        <v>116</v>
      </c>
      <c r="O53" s="6" t="s">
        <v>116</v>
      </c>
      <c r="P53" s="14">
        <f t="shared" si="1"/>
        <v>400</v>
      </c>
      <c r="Q53" s="6" t="s">
        <v>117</v>
      </c>
      <c r="R53" s="6" t="s">
        <v>118</v>
      </c>
    </row>
    <row r="54" spans="1:18" ht="15" customHeight="1" x14ac:dyDescent="0.35">
      <c r="A54" s="2" t="s">
        <v>222</v>
      </c>
      <c r="B54" s="3" t="s">
        <v>221</v>
      </c>
      <c r="C54" s="3">
        <v>1</v>
      </c>
      <c r="D54" s="3" t="s">
        <v>70</v>
      </c>
      <c r="E54" s="3" t="s">
        <v>19</v>
      </c>
      <c r="F54" s="3">
        <v>1</v>
      </c>
      <c r="G54" s="4">
        <v>250</v>
      </c>
      <c r="H54" s="3" t="s">
        <v>116</v>
      </c>
      <c r="I54" s="3" t="s">
        <v>116</v>
      </c>
      <c r="J54" s="3" t="s">
        <v>116</v>
      </c>
      <c r="K54" s="3" t="s">
        <v>116</v>
      </c>
      <c r="L54" s="3" t="s">
        <v>116</v>
      </c>
      <c r="M54" s="3" t="s">
        <v>116</v>
      </c>
      <c r="N54" s="3" t="s">
        <v>116</v>
      </c>
      <c r="O54" s="3" t="s">
        <v>116</v>
      </c>
      <c r="P54" s="4">
        <f t="shared" si="1"/>
        <v>250</v>
      </c>
      <c r="Q54" s="3" t="s">
        <v>117</v>
      </c>
      <c r="R54" s="3" t="s">
        <v>118</v>
      </c>
    </row>
    <row r="55" spans="1:18" ht="15" customHeight="1" x14ac:dyDescent="0.35">
      <c r="A55" s="5" t="s">
        <v>223</v>
      </c>
      <c r="B55" s="6" t="s">
        <v>224</v>
      </c>
      <c r="C55" s="6">
        <v>1</v>
      </c>
      <c r="D55" s="6" t="s">
        <v>36</v>
      </c>
      <c r="E55" s="6" t="s">
        <v>11</v>
      </c>
      <c r="F55" s="6">
        <v>1</v>
      </c>
      <c r="G55" s="7">
        <v>349</v>
      </c>
      <c r="H55" s="6" t="s">
        <v>116</v>
      </c>
      <c r="I55" s="6" t="s">
        <v>116</v>
      </c>
      <c r="J55" s="6" t="s">
        <v>116</v>
      </c>
      <c r="K55" s="6" t="s">
        <v>116</v>
      </c>
      <c r="L55" s="6" t="s">
        <v>116</v>
      </c>
      <c r="M55" s="6" t="s">
        <v>116</v>
      </c>
      <c r="N55" s="6" t="s">
        <v>116</v>
      </c>
      <c r="O55" s="6" t="s">
        <v>116</v>
      </c>
      <c r="P55" s="14">
        <f t="shared" si="1"/>
        <v>349</v>
      </c>
      <c r="Q55" s="6" t="s">
        <v>117</v>
      </c>
      <c r="R55" s="6" t="s">
        <v>118</v>
      </c>
    </row>
    <row r="56" spans="1:18" ht="23.9" customHeight="1" x14ac:dyDescent="0.35">
      <c r="A56" s="2" t="s">
        <v>225</v>
      </c>
      <c r="B56" s="3" t="s">
        <v>226</v>
      </c>
      <c r="C56" s="3">
        <v>3</v>
      </c>
      <c r="D56" s="3" t="s">
        <v>35</v>
      </c>
      <c r="E56" s="3" t="s">
        <v>11</v>
      </c>
      <c r="F56" s="3">
        <v>1</v>
      </c>
      <c r="G56" s="4">
        <v>550</v>
      </c>
      <c r="H56" s="3" t="s">
        <v>61</v>
      </c>
      <c r="I56" s="3" t="s">
        <v>11</v>
      </c>
      <c r="J56" s="3">
        <v>1</v>
      </c>
      <c r="K56" s="4">
        <v>350</v>
      </c>
      <c r="L56" s="3" t="s">
        <v>84</v>
      </c>
      <c r="M56" s="3" t="s">
        <v>10</v>
      </c>
      <c r="N56" s="3">
        <v>1</v>
      </c>
      <c r="O56" s="4">
        <v>175</v>
      </c>
      <c r="P56" s="4">
        <f t="shared" si="1"/>
        <v>1075</v>
      </c>
      <c r="Q56" s="3" t="s">
        <v>117</v>
      </c>
      <c r="R56" s="3" t="s">
        <v>118</v>
      </c>
    </row>
    <row r="57" spans="1:18" ht="15" customHeight="1" x14ac:dyDescent="0.35">
      <c r="A57" s="5" t="s">
        <v>227</v>
      </c>
      <c r="B57" s="6" t="s">
        <v>228</v>
      </c>
      <c r="C57" s="6">
        <v>3</v>
      </c>
      <c r="D57" s="6" t="s">
        <v>63</v>
      </c>
      <c r="E57" s="6" t="s">
        <v>11</v>
      </c>
      <c r="F57" s="6">
        <v>1</v>
      </c>
      <c r="G57" s="7">
        <v>349</v>
      </c>
      <c r="H57" s="6" t="s">
        <v>81</v>
      </c>
      <c r="I57" s="6" t="s">
        <v>10</v>
      </c>
      <c r="J57" s="6">
        <v>1</v>
      </c>
      <c r="K57" s="7">
        <v>125</v>
      </c>
      <c r="L57" s="6" t="s">
        <v>52</v>
      </c>
      <c r="M57" s="6" t="s">
        <v>10</v>
      </c>
      <c r="N57" s="6">
        <v>1</v>
      </c>
      <c r="O57" s="7">
        <v>199</v>
      </c>
      <c r="P57" s="14">
        <f t="shared" si="1"/>
        <v>673</v>
      </c>
      <c r="Q57" s="6" t="s">
        <v>117</v>
      </c>
      <c r="R57" s="6" t="s">
        <v>118</v>
      </c>
    </row>
    <row r="58" spans="1:18" ht="23.9" customHeight="1" x14ac:dyDescent="0.35">
      <c r="A58" s="2" t="s">
        <v>229</v>
      </c>
      <c r="B58" s="3" t="s">
        <v>230</v>
      </c>
      <c r="C58" s="3">
        <v>3</v>
      </c>
      <c r="D58" s="10" t="s">
        <v>68</v>
      </c>
      <c r="E58" s="3" t="s">
        <v>16</v>
      </c>
      <c r="F58" s="3">
        <v>1</v>
      </c>
      <c r="G58" s="4">
        <v>275</v>
      </c>
      <c r="H58" s="10" t="s">
        <v>86</v>
      </c>
      <c r="I58" s="3" t="s">
        <v>16</v>
      </c>
      <c r="J58" s="3">
        <v>1</v>
      </c>
      <c r="K58" s="4">
        <v>175</v>
      </c>
      <c r="L58" s="3" t="s">
        <v>92</v>
      </c>
      <c r="M58" s="3" t="s">
        <v>10</v>
      </c>
      <c r="N58" s="3">
        <v>1</v>
      </c>
      <c r="O58" s="4">
        <v>99</v>
      </c>
      <c r="P58" s="4">
        <f t="shared" si="1"/>
        <v>549</v>
      </c>
      <c r="Q58" s="3" t="s">
        <v>117</v>
      </c>
      <c r="R58" s="3" t="s">
        <v>118</v>
      </c>
    </row>
    <row r="59" spans="1:18" ht="15" customHeight="1" x14ac:dyDescent="0.35">
      <c r="A59" s="5" t="s">
        <v>231</v>
      </c>
      <c r="B59" s="6" t="s">
        <v>230</v>
      </c>
      <c r="C59" s="6">
        <v>2</v>
      </c>
      <c r="D59" s="6" t="s">
        <v>80</v>
      </c>
      <c r="E59" s="6" t="s">
        <v>19</v>
      </c>
      <c r="F59" s="6">
        <v>1</v>
      </c>
      <c r="G59" s="7">
        <v>199</v>
      </c>
      <c r="H59" s="6" t="s">
        <v>85</v>
      </c>
      <c r="I59" s="6" t="s">
        <v>10</v>
      </c>
      <c r="J59" s="6">
        <v>1</v>
      </c>
      <c r="K59" s="7">
        <v>175</v>
      </c>
      <c r="L59" s="6" t="s">
        <v>116</v>
      </c>
      <c r="M59" s="6" t="s">
        <v>116</v>
      </c>
      <c r="N59" s="6" t="s">
        <v>116</v>
      </c>
      <c r="O59" s="6" t="s">
        <v>116</v>
      </c>
      <c r="P59" s="14">
        <f t="shared" si="1"/>
        <v>374</v>
      </c>
      <c r="Q59" s="6" t="s">
        <v>117</v>
      </c>
      <c r="R59" s="6" t="s">
        <v>118</v>
      </c>
    </row>
    <row r="60" spans="1:18" ht="15" customHeight="1" x14ac:dyDescent="0.35">
      <c r="A60" s="2" t="s">
        <v>232</v>
      </c>
      <c r="B60" s="3" t="s">
        <v>233</v>
      </c>
      <c r="C60" s="3">
        <v>1</v>
      </c>
      <c r="D60" s="3" t="s">
        <v>43</v>
      </c>
      <c r="E60" s="3" t="s">
        <v>10</v>
      </c>
      <c r="F60" s="3">
        <v>2</v>
      </c>
      <c r="G60" s="4">
        <v>175</v>
      </c>
      <c r="H60" s="3" t="s">
        <v>116</v>
      </c>
      <c r="I60" s="3" t="s">
        <v>116</v>
      </c>
      <c r="J60" s="3" t="s">
        <v>116</v>
      </c>
      <c r="K60" s="3" t="s">
        <v>116</v>
      </c>
      <c r="L60" s="3" t="s">
        <v>116</v>
      </c>
      <c r="M60" s="3" t="s">
        <v>116</v>
      </c>
      <c r="N60" s="3" t="s">
        <v>116</v>
      </c>
      <c r="O60" s="3" t="s">
        <v>116</v>
      </c>
      <c r="P60" s="4">
        <f t="shared" si="1"/>
        <v>350</v>
      </c>
      <c r="Q60" s="3" t="s">
        <v>117</v>
      </c>
      <c r="R60" s="3" t="s">
        <v>118</v>
      </c>
    </row>
    <row r="61" spans="1:18" ht="15" customHeight="1" x14ac:dyDescent="0.35">
      <c r="A61" s="5" t="s">
        <v>234</v>
      </c>
      <c r="B61" s="6" t="s">
        <v>235</v>
      </c>
      <c r="C61" s="6">
        <v>2</v>
      </c>
      <c r="D61" s="6" t="s">
        <v>9</v>
      </c>
      <c r="E61" s="6" t="s">
        <v>10</v>
      </c>
      <c r="F61" s="6">
        <v>8</v>
      </c>
      <c r="G61" s="7">
        <v>175</v>
      </c>
      <c r="H61" s="6" t="s">
        <v>82</v>
      </c>
      <c r="I61" s="6" t="s">
        <v>10</v>
      </c>
      <c r="J61" s="6">
        <v>1</v>
      </c>
      <c r="K61" s="7">
        <v>180</v>
      </c>
      <c r="L61" s="6" t="s">
        <v>116</v>
      </c>
      <c r="M61" s="6" t="s">
        <v>116</v>
      </c>
      <c r="N61" s="6" t="s">
        <v>116</v>
      </c>
      <c r="O61" s="6" t="s">
        <v>116</v>
      </c>
      <c r="P61" s="14">
        <f t="shared" si="1"/>
        <v>1580</v>
      </c>
      <c r="Q61" s="6" t="s">
        <v>117</v>
      </c>
      <c r="R61" s="6" t="s">
        <v>118</v>
      </c>
    </row>
    <row r="62" spans="1:18" ht="15" customHeight="1" x14ac:dyDescent="0.35">
      <c r="A62" s="2" t="s">
        <v>236</v>
      </c>
      <c r="B62" s="3" t="s">
        <v>237</v>
      </c>
      <c r="C62" s="3">
        <v>3</v>
      </c>
      <c r="D62" s="3" t="s">
        <v>53</v>
      </c>
      <c r="E62" s="3" t="s">
        <v>10</v>
      </c>
      <c r="F62" s="3">
        <v>1</v>
      </c>
      <c r="G62" s="4">
        <v>199</v>
      </c>
      <c r="H62" s="3" t="s">
        <v>60</v>
      </c>
      <c r="I62" s="3" t="s">
        <v>10</v>
      </c>
      <c r="J62" s="3">
        <v>1</v>
      </c>
      <c r="K62" s="4">
        <v>120</v>
      </c>
      <c r="L62" s="3" t="s">
        <v>50</v>
      </c>
      <c r="M62" s="3" t="s">
        <v>19</v>
      </c>
      <c r="N62" s="3">
        <v>1</v>
      </c>
      <c r="O62" s="4">
        <v>275</v>
      </c>
      <c r="P62" s="4">
        <f t="shared" si="1"/>
        <v>594</v>
      </c>
      <c r="Q62" s="3" t="s">
        <v>117</v>
      </c>
      <c r="R62" s="3" t="s">
        <v>118</v>
      </c>
    </row>
    <row r="63" spans="1:18" ht="15" customHeight="1" x14ac:dyDescent="0.35">
      <c r="A63" s="5" t="s">
        <v>238</v>
      </c>
      <c r="B63" s="6" t="s">
        <v>237</v>
      </c>
      <c r="C63" s="6">
        <v>2</v>
      </c>
      <c r="D63" s="6" t="s">
        <v>21</v>
      </c>
      <c r="E63" s="6" t="s">
        <v>16</v>
      </c>
      <c r="F63" s="6">
        <v>1</v>
      </c>
      <c r="G63" s="7">
        <v>199</v>
      </c>
      <c r="H63" s="6" t="s">
        <v>70</v>
      </c>
      <c r="I63" s="6" t="s">
        <v>19</v>
      </c>
      <c r="J63" s="6">
        <v>1</v>
      </c>
      <c r="K63" s="7">
        <v>250</v>
      </c>
      <c r="L63" s="6" t="s">
        <v>116</v>
      </c>
      <c r="M63" s="6" t="s">
        <v>116</v>
      </c>
      <c r="N63" s="6" t="s">
        <v>116</v>
      </c>
      <c r="O63" s="6" t="s">
        <v>116</v>
      </c>
      <c r="P63" s="14">
        <f t="shared" si="1"/>
        <v>449</v>
      </c>
      <c r="Q63" s="6" t="s">
        <v>117</v>
      </c>
      <c r="R63" s="6" t="s">
        <v>118</v>
      </c>
    </row>
    <row r="64" spans="1:18" ht="15" customHeight="1" x14ac:dyDescent="0.35">
      <c r="A64" s="2" t="s">
        <v>239</v>
      </c>
      <c r="B64" s="3" t="s">
        <v>240</v>
      </c>
      <c r="C64" s="3">
        <v>3</v>
      </c>
      <c r="D64" s="3" t="s">
        <v>35</v>
      </c>
      <c r="E64" s="3" t="s">
        <v>11</v>
      </c>
      <c r="F64" s="3">
        <v>1</v>
      </c>
      <c r="G64" s="4">
        <v>550</v>
      </c>
      <c r="H64" s="3" t="s">
        <v>81</v>
      </c>
      <c r="I64" s="3" t="s">
        <v>10</v>
      </c>
      <c r="J64" s="3">
        <v>1</v>
      </c>
      <c r="K64" s="4">
        <v>125</v>
      </c>
      <c r="L64" s="3" t="s">
        <v>43</v>
      </c>
      <c r="M64" s="3" t="s">
        <v>10</v>
      </c>
      <c r="N64" s="3">
        <v>1</v>
      </c>
      <c r="O64" s="4">
        <v>175</v>
      </c>
      <c r="P64" s="4">
        <f t="shared" si="1"/>
        <v>850</v>
      </c>
      <c r="Q64" s="3" t="s">
        <v>117</v>
      </c>
      <c r="R64" s="3" t="s">
        <v>118</v>
      </c>
    </row>
    <row r="65" spans="1:18" ht="15" customHeight="1" x14ac:dyDescent="0.35">
      <c r="A65" s="5" t="s">
        <v>241</v>
      </c>
      <c r="B65" s="6" t="s">
        <v>242</v>
      </c>
      <c r="C65" s="6">
        <v>1</v>
      </c>
      <c r="D65" s="6" t="s">
        <v>53</v>
      </c>
      <c r="E65" s="6" t="s">
        <v>10</v>
      </c>
      <c r="F65" s="6">
        <v>2</v>
      </c>
      <c r="G65" s="7">
        <v>199</v>
      </c>
      <c r="H65" s="6" t="s">
        <v>116</v>
      </c>
      <c r="I65" s="6" t="s">
        <v>116</v>
      </c>
      <c r="J65" s="6" t="s">
        <v>116</v>
      </c>
      <c r="K65" s="6" t="s">
        <v>116</v>
      </c>
      <c r="L65" s="6" t="s">
        <v>116</v>
      </c>
      <c r="M65" s="6" t="s">
        <v>116</v>
      </c>
      <c r="N65" s="6" t="s">
        <v>116</v>
      </c>
      <c r="O65" s="6" t="s">
        <v>116</v>
      </c>
      <c r="P65" s="14">
        <f t="shared" si="1"/>
        <v>398</v>
      </c>
      <c r="Q65" s="6" t="s">
        <v>117</v>
      </c>
      <c r="R65" s="6" t="s">
        <v>118</v>
      </c>
    </row>
    <row r="66" spans="1:18" ht="23.9" customHeight="1" x14ac:dyDescent="0.35">
      <c r="A66" s="2" t="s">
        <v>243</v>
      </c>
      <c r="B66" s="3" t="s">
        <v>244</v>
      </c>
      <c r="C66" s="3">
        <v>2</v>
      </c>
      <c r="D66" s="3" t="s">
        <v>80</v>
      </c>
      <c r="E66" s="3" t="s">
        <v>19</v>
      </c>
      <c r="F66" s="3">
        <v>1</v>
      </c>
      <c r="G66" s="4">
        <v>199</v>
      </c>
      <c r="H66" s="10" t="s">
        <v>68</v>
      </c>
      <c r="I66" s="3" t="s">
        <v>16</v>
      </c>
      <c r="J66" s="3">
        <v>1</v>
      </c>
      <c r="K66" s="4">
        <v>275</v>
      </c>
      <c r="L66" s="3" t="s">
        <v>116</v>
      </c>
      <c r="M66" s="3" t="s">
        <v>116</v>
      </c>
      <c r="N66" s="3" t="s">
        <v>116</v>
      </c>
      <c r="O66" s="3" t="s">
        <v>116</v>
      </c>
      <c r="P66" s="4">
        <f t="shared" ref="P66:P97" si="2">IFERROR(F66*G66,0)+IFERROR(J66*K66,0)+IFERROR(N66*O66,0)</f>
        <v>474</v>
      </c>
      <c r="Q66" s="3" t="s">
        <v>123</v>
      </c>
      <c r="R66" s="3" t="s">
        <v>118</v>
      </c>
    </row>
    <row r="67" spans="1:18" ht="15" customHeight="1" x14ac:dyDescent="0.35">
      <c r="A67" s="5" t="s">
        <v>245</v>
      </c>
      <c r="B67" s="6" t="s">
        <v>244</v>
      </c>
      <c r="C67" s="6">
        <v>3</v>
      </c>
      <c r="D67" s="6" t="s">
        <v>61</v>
      </c>
      <c r="E67" s="6" t="s">
        <v>11</v>
      </c>
      <c r="F67" s="6">
        <v>1</v>
      </c>
      <c r="G67" s="7">
        <v>350</v>
      </c>
      <c r="H67" s="6" t="s">
        <v>92</v>
      </c>
      <c r="I67" s="6" t="s">
        <v>10</v>
      </c>
      <c r="J67" s="6">
        <v>1</v>
      </c>
      <c r="K67" s="7">
        <v>99</v>
      </c>
      <c r="L67" s="6" t="s">
        <v>82</v>
      </c>
      <c r="M67" s="6" t="s">
        <v>10</v>
      </c>
      <c r="N67" s="6">
        <v>1</v>
      </c>
      <c r="O67" s="7">
        <v>180</v>
      </c>
      <c r="P67" s="14">
        <f t="shared" si="2"/>
        <v>629</v>
      </c>
      <c r="Q67" s="6" t="s">
        <v>117</v>
      </c>
      <c r="R67" s="6" t="s">
        <v>118</v>
      </c>
    </row>
    <row r="68" spans="1:18" ht="23.9" customHeight="1" x14ac:dyDescent="0.35">
      <c r="A68" s="2" t="s">
        <v>246</v>
      </c>
      <c r="B68" s="3" t="s">
        <v>247</v>
      </c>
      <c r="C68" s="3">
        <v>1</v>
      </c>
      <c r="D68" s="10" t="s">
        <v>86</v>
      </c>
      <c r="E68" s="3" t="s">
        <v>16</v>
      </c>
      <c r="F68" s="3">
        <v>1</v>
      </c>
      <c r="G68" s="4">
        <v>175</v>
      </c>
      <c r="H68" s="3" t="s">
        <v>116</v>
      </c>
      <c r="I68" s="3" t="s">
        <v>116</v>
      </c>
      <c r="J68" s="3" t="s">
        <v>116</v>
      </c>
      <c r="K68" s="3" t="s">
        <v>116</v>
      </c>
      <c r="L68" s="3" t="s">
        <v>116</v>
      </c>
      <c r="M68" s="3" t="s">
        <v>116</v>
      </c>
      <c r="N68" s="3" t="s">
        <v>116</v>
      </c>
      <c r="O68" s="3" t="s">
        <v>116</v>
      </c>
      <c r="P68" s="4">
        <f t="shared" si="2"/>
        <v>175</v>
      </c>
      <c r="Q68" s="3" t="s">
        <v>117</v>
      </c>
      <c r="R68" s="3" t="s">
        <v>118</v>
      </c>
    </row>
    <row r="69" spans="1:18" ht="15" customHeight="1" x14ac:dyDescent="0.35">
      <c r="A69" s="5" t="s">
        <v>248</v>
      </c>
      <c r="B69" s="6" t="s">
        <v>249</v>
      </c>
      <c r="C69" s="6">
        <v>2</v>
      </c>
      <c r="D69" s="6" t="s">
        <v>36</v>
      </c>
      <c r="E69" s="6" t="s">
        <v>11</v>
      </c>
      <c r="F69" s="6">
        <v>1</v>
      </c>
      <c r="G69" s="7">
        <v>349</v>
      </c>
      <c r="H69" s="6" t="s">
        <v>50</v>
      </c>
      <c r="I69" s="6" t="s">
        <v>19</v>
      </c>
      <c r="J69" s="6">
        <v>1</v>
      </c>
      <c r="K69" s="7">
        <v>275</v>
      </c>
      <c r="L69" s="6" t="s">
        <v>116</v>
      </c>
      <c r="M69" s="6" t="s">
        <v>116</v>
      </c>
      <c r="N69" s="6" t="s">
        <v>116</v>
      </c>
      <c r="O69" s="6" t="s">
        <v>116</v>
      </c>
      <c r="P69" s="14">
        <f t="shared" si="2"/>
        <v>624</v>
      </c>
      <c r="Q69" s="6" t="s">
        <v>117</v>
      </c>
      <c r="R69" s="6" t="s">
        <v>118</v>
      </c>
    </row>
    <row r="70" spans="1:18" ht="15" customHeight="1" x14ac:dyDescent="0.35">
      <c r="A70" s="2" t="s">
        <v>250</v>
      </c>
      <c r="B70" s="3" t="s">
        <v>249</v>
      </c>
      <c r="C70" s="3">
        <v>3</v>
      </c>
      <c r="D70" s="3" t="s">
        <v>63</v>
      </c>
      <c r="E70" s="3" t="s">
        <v>11</v>
      </c>
      <c r="F70" s="3">
        <v>1</v>
      </c>
      <c r="G70" s="4">
        <v>349</v>
      </c>
      <c r="H70" s="3" t="s">
        <v>85</v>
      </c>
      <c r="I70" s="3" t="s">
        <v>10</v>
      </c>
      <c r="J70" s="3">
        <v>1</v>
      </c>
      <c r="K70" s="4">
        <v>175</v>
      </c>
      <c r="L70" s="3" t="s">
        <v>34</v>
      </c>
      <c r="M70" s="3" t="s">
        <v>16</v>
      </c>
      <c r="N70" s="3">
        <v>1</v>
      </c>
      <c r="O70" s="4">
        <v>225</v>
      </c>
      <c r="P70" s="4">
        <f t="shared" si="2"/>
        <v>749</v>
      </c>
      <c r="Q70" s="3" t="s">
        <v>117</v>
      </c>
      <c r="R70" s="3" t="s">
        <v>118</v>
      </c>
    </row>
    <row r="71" spans="1:18" ht="15" customHeight="1" x14ac:dyDescent="0.35">
      <c r="A71" s="5" t="s">
        <v>251</v>
      </c>
      <c r="B71" s="6" t="s">
        <v>252</v>
      </c>
      <c r="C71" s="6">
        <v>1</v>
      </c>
      <c r="D71" s="6" t="s">
        <v>43</v>
      </c>
      <c r="E71" s="6" t="s">
        <v>10</v>
      </c>
      <c r="F71" s="6">
        <v>1</v>
      </c>
      <c r="G71" s="7">
        <v>175</v>
      </c>
      <c r="H71" s="6" t="s">
        <v>116</v>
      </c>
      <c r="I71" s="6" t="s">
        <v>116</v>
      </c>
      <c r="J71" s="6" t="s">
        <v>116</v>
      </c>
      <c r="K71" s="6" t="s">
        <v>116</v>
      </c>
      <c r="L71" s="6" t="s">
        <v>116</v>
      </c>
      <c r="M71" s="6" t="s">
        <v>116</v>
      </c>
      <c r="N71" s="6" t="s">
        <v>116</v>
      </c>
      <c r="O71" s="6" t="s">
        <v>116</v>
      </c>
      <c r="P71" s="14">
        <f t="shared" si="2"/>
        <v>175</v>
      </c>
      <c r="Q71" s="6" t="s">
        <v>117</v>
      </c>
      <c r="R71" s="6" t="s">
        <v>118</v>
      </c>
    </row>
    <row r="72" spans="1:18" ht="23.9" customHeight="1" x14ac:dyDescent="0.35">
      <c r="A72" s="2" t="s">
        <v>253</v>
      </c>
      <c r="B72" s="3" t="s">
        <v>252</v>
      </c>
      <c r="C72" s="3">
        <v>3</v>
      </c>
      <c r="D72" s="3" t="s">
        <v>84</v>
      </c>
      <c r="E72" s="3" t="s">
        <v>10</v>
      </c>
      <c r="F72" s="3">
        <v>1</v>
      </c>
      <c r="G72" s="4">
        <v>175</v>
      </c>
      <c r="H72" s="3" t="s">
        <v>25</v>
      </c>
      <c r="I72" s="3" t="s">
        <v>11</v>
      </c>
      <c r="J72" s="3">
        <v>1</v>
      </c>
      <c r="K72" s="4">
        <v>249</v>
      </c>
      <c r="L72" s="3" t="s">
        <v>37</v>
      </c>
      <c r="M72" s="3" t="s">
        <v>16</v>
      </c>
      <c r="N72" s="3">
        <v>1</v>
      </c>
      <c r="O72" s="4">
        <v>249</v>
      </c>
      <c r="P72" s="4">
        <f t="shared" si="2"/>
        <v>673</v>
      </c>
      <c r="Q72" s="3" t="s">
        <v>117</v>
      </c>
      <c r="R72" s="3" t="s">
        <v>118</v>
      </c>
    </row>
    <row r="73" spans="1:18" ht="15" customHeight="1" x14ac:dyDescent="0.35">
      <c r="A73" s="5" t="s">
        <v>254</v>
      </c>
      <c r="B73" s="6" t="s">
        <v>255</v>
      </c>
      <c r="C73" s="6">
        <v>2</v>
      </c>
      <c r="D73" s="6" t="s">
        <v>66</v>
      </c>
      <c r="E73" s="6" t="s">
        <v>10</v>
      </c>
      <c r="F73" s="6">
        <v>1</v>
      </c>
      <c r="G73" s="7">
        <v>199</v>
      </c>
      <c r="H73" s="6" t="s">
        <v>31</v>
      </c>
      <c r="I73" s="6" t="s">
        <v>11</v>
      </c>
      <c r="J73" s="6">
        <v>1</v>
      </c>
      <c r="K73" s="7">
        <v>399</v>
      </c>
      <c r="L73" s="6" t="s">
        <v>116</v>
      </c>
      <c r="M73" s="6" t="s">
        <v>116</v>
      </c>
      <c r="N73" s="6" t="s">
        <v>116</v>
      </c>
      <c r="O73" s="6" t="s">
        <v>116</v>
      </c>
      <c r="P73" s="14">
        <f t="shared" si="2"/>
        <v>598</v>
      </c>
      <c r="Q73" s="6" t="s">
        <v>117</v>
      </c>
      <c r="R73" s="6" t="s">
        <v>118</v>
      </c>
    </row>
    <row r="74" spans="1:18" ht="15" customHeight="1" x14ac:dyDescent="0.35">
      <c r="A74" s="2" t="s">
        <v>256</v>
      </c>
      <c r="B74" s="3" t="s">
        <v>255</v>
      </c>
      <c r="C74" s="3">
        <v>2</v>
      </c>
      <c r="D74" s="3" t="s">
        <v>76</v>
      </c>
      <c r="E74" s="3" t="s">
        <v>11</v>
      </c>
      <c r="F74" s="3">
        <v>1</v>
      </c>
      <c r="G74" s="4">
        <v>215</v>
      </c>
      <c r="H74" s="10" t="s">
        <v>72</v>
      </c>
      <c r="I74" s="3" t="s">
        <v>16</v>
      </c>
      <c r="J74" s="3">
        <v>1</v>
      </c>
      <c r="K74" s="4">
        <v>249</v>
      </c>
      <c r="L74" s="3" t="s">
        <v>116</v>
      </c>
      <c r="M74" s="3" t="s">
        <v>116</v>
      </c>
      <c r="N74" s="3" t="s">
        <v>116</v>
      </c>
      <c r="O74" s="3" t="s">
        <v>116</v>
      </c>
      <c r="P74" s="4">
        <f t="shared" si="2"/>
        <v>464</v>
      </c>
      <c r="Q74" s="3" t="s">
        <v>117</v>
      </c>
      <c r="R74" s="3" t="s">
        <v>118</v>
      </c>
    </row>
    <row r="75" spans="1:18" ht="15" customHeight="1" x14ac:dyDescent="0.35">
      <c r="A75" s="5" t="s">
        <v>257</v>
      </c>
      <c r="B75" s="6" t="s">
        <v>258</v>
      </c>
      <c r="C75" s="6">
        <v>2</v>
      </c>
      <c r="D75" s="6" t="s">
        <v>39</v>
      </c>
      <c r="E75" s="6" t="s">
        <v>11</v>
      </c>
      <c r="F75" s="6">
        <v>2</v>
      </c>
      <c r="G75" s="7">
        <v>299</v>
      </c>
      <c r="H75" s="6" t="s">
        <v>47</v>
      </c>
      <c r="I75" s="6" t="s">
        <v>10</v>
      </c>
      <c r="J75" s="6">
        <v>1</v>
      </c>
      <c r="K75" s="7">
        <v>275</v>
      </c>
      <c r="L75" s="6" t="s">
        <v>116</v>
      </c>
      <c r="M75" s="6" t="s">
        <v>116</v>
      </c>
      <c r="N75" s="6" t="s">
        <v>116</v>
      </c>
      <c r="O75" s="6" t="s">
        <v>116</v>
      </c>
      <c r="P75" s="14">
        <f t="shared" si="2"/>
        <v>873</v>
      </c>
      <c r="Q75" s="6" t="s">
        <v>117</v>
      </c>
      <c r="R75" s="6" t="s">
        <v>118</v>
      </c>
    </row>
    <row r="76" spans="1:18" ht="15" customHeight="1" x14ac:dyDescent="0.35">
      <c r="A76" s="2" t="s">
        <v>259</v>
      </c>
      <c r="B76" s="3" t="s">
        <v>258</v>
      </c>
      <c r="C76" s="3">
        <v>2</v>
      </c>
      <c r="D76" s="3" t="s">
        <v>13</v>
      </c>
      <c r="E76" s="3" t="s">
        <v>10</v>
      </c>
      <c r="F76" s="3">
        <v>1</v>
      </c>
      <c r="G76" s="4">
        <v>499</v>
      </c>
      <c r="H76" s="3" t="s">
        <v>52</v>
      </c>
      <c r="I76" s="3" t="s">
        <v>10</v>
      </c>
      <c r="J76" s="3">
        <v>1</v>
      </c>
      <c r="K76" s="4">
        <v>199</v>
      </c>
      <c r="L76" s="3" t="s">
        <v>116</v>
      </c>
      <c r="M76" s="3" t="s">
        <v>116</v>
      </c>
      <c r="N76" s="3" t="s">
        <v>116</v>
      </c>
      <c r="O76" s="3" t="s">
        <v>116</v>
      </c>
      <c r="P76" s="4">
        <f t="shared" si="2"/>
        <v>698</v>
      </c>
      <c r="Q76" s="3" t="s">
        <v>117</v>
      </c>
      <c r="R76" s="3" t="s">
        <v>118</v>
      </c>
    </row>
    <row r="77" spans="1:18" ht="23.9" customHeight="1" x14ac:dyDescent="0.35">
      <c r="A77" s="5" t="s">
        <v>260</v>
      </c>
      <c r="B77" s="6" t="s">
        <v>261</v>
      </c>
      <c r="C77" s="6">
        <v>3</v>
      </c>
      <c r="D77" s="6" t="s">
        <v>57</v>
      </c>
      <c r="E77" s="6" t="s">
        <v>11</v>
      </c>
      <c r="F77" s="6">
        <v>1</v>
      </c>
      <c r="G77" s="7">
        <v>249</v>
      </c>
      <c r="H77" s="9" t="s">
        <v>75</v>
      </c>
      <c r="I77" s="6" t="s">
        <v>16</v>
      </c>
      <c r="J77" s="6">
        <v>1</v>
      </c>
      <c r="K77" s="7">
        <v>150</v>
      </c>
      <c r="L77" s="6" t="s">
        <v>33</v>
      </c>
      <c r="M77" s="6" t="s">
        <v>11</v>
      </c>
      <c r="N77" s="6">
        <v>1</v>
      </c>
      <c r="O77" s="7">
        <v>375</v>
      </c>
      <c r="P77" s="14">
        <f t="shared" si="2"/>
        <v>774</v>
      </c>
      <c r="Q77" s="6" t="s">
        <v>117</v>
      </c>
      <c r="R77" s="6" t="s">
        <v>118</v>
      </c>
    </row>
    <row r="78" spans="1:18" ht="15" customHeight="1" x14ac:dyDescent="0.35">
      <c r="A78" s="2" t="s">
        <v>262</v>
      </c>
      <c r="B78" s="3" t="s">
        <v>261</v>
      </c>
      <c r="C78" s="3">
        <v>3</v>
      </c>
      <c r="D78" s="3" t="s">
        <v>46</v>
      </c>
      <c r="E78" s="3" t="s">
        <v>11</v>
      </c>
      <c r="F78" s="3">
        <v>1</v>
      </c>
      <c r="G78" s="4">
        <v>275</v>
      </c>
      <c r="H78" s="3" t="s">
        <v>78</v>
      </c>
      <c r="I78" s="3" t="s">
        <v>11</v>
      </c>
      <c r="J78" s="3">
        <v>1</v>
      </c>
      <c r="K78" s="4">
        <v>199</v>
      </c>
      <c r="L78" s="3" t="s">
        <v>13</v>
      </c>
      <c r="M78" s="3" t="s">
        <v>10</v>
      </c>
      <c r="N78" s="3">
        <v>1</v>
      </c>
      <c r="O78" s="4">
        <v>499</v>
      </c>
      <c r="P78" s="4">
        <f t="shared" si="2"/>
        <v>973</v>
      </c>
      <c r="Q78" s="3" t="s">
        <v>117</v>
      </c>
      <c r="R78" s="3" t="s">
        <v>118</v>
      </c>
    </row>
    <row r="79" spans="1:18" ht="15" customHeight="1" x14ac:dyDescent="0.35">
      <c r="A79" s="5" t="s">
        <v>263</v>
      </c>
      <c r="B79" s="6" t="s">
        <v>264</v>
      </c>
      <c r="C79" s="6">
        <v>1</v>
      </c>
      <c r="D79" s="6" t="s">
        <v>49</v>
      </c>
      <c r="E79" s="6" t="s">
        <v>10</v>
      </c>
      <c r="F79" s="6">
        <v>1</v>
      </c>
      <c r="G79" s="7">
        <v>275</v>
      </c>
      <c r="H79" s="6" t="s">
        <v>116</v>
      </c>
      <c r="I79" s="6" t="s">
        <v>116</v>
      </c>
      <c r="J79" s="6" t="s">
        <v>116</v>
      </c>
      <c r="K79" s="6" t="s">
        <v>116</v>
      </c>
      <c r="L79" s="6" t="s">
        <v>116</v>
      </c>
      <c r="M79" s="6" t="s">
        <v>116</v>
      </c>
      <c r="N79" s="6" t="s">
        <v>116</v>
      </c>
      <c r="O79" s="6" t="s">
        <v>116</v>
      </c>
      <c r="P79" s="14">
        <f t="shared" si="2"/>
        <v>275</v>
      </c>
      <c r="Q79" s="6" t="s">
        <v>117</v>
      </c>
      <c r="R79" s="6" t="s">
        <v>118</v>
      </c>
    </row>
    <row r="80" spans="1:18" ht="15" customHeight="1" x14ac:dyDescent="0.35">
      <c r="A80" s="2" t="s">
        <v>265</v>
      </c>
      <c r="B80" s="3" t="s">
        <v>264</v>
      </c>
      <c r="C80" s="3">
        <v>3</v>
      </c>
      <c r="D80" s="3" t="s">
        <v>44</v>
      </c>
      <c r="E80" s="3" t="s">
        <v>10</v>
      </c>
      <c r="F80" s="3">
        <v>3</v>
      </c>
      <c r="G80" s="4">
        <v>175</v>
      </c>
      <c r="H80" s="3" t="s">
        <v>67</v>
      </c>
      <c r="I80" s="3" t="s">
        <v>19</v>
      </c>
      <c r="J80" s="3">
        <v>1</v>
      </c>
      <c r="K80" s="4">
        <v>199</v>
      </c>
      <c r="L80" s="10" t="s">
        <v>94</v>
      </c>
      <c r="M80" s="3" t="s">
        <v>16</v>
      </c>
      <c r="N80" s="3">
        <v>1</v>
      </c>
      <c r="O80" s="4">
        <v>75</v>
      </c>
      <c r="P80" s="4">
        <f t="shared" si="2"/>
        <v>799</v>
      </c>
      <c r="Q80" s="3" t="s">
        <v>117</v>
      </c>
      <c r="R80" s="3" t="s">
        <v>118</v>
      </c>
    </row>
    <row r="81" spans="1:18" ht="15" customHeight="1" x14ac:dyDescent="0.35">
      <c r="A81" s="5" t="s">
        <v>266</v>
      </c>
      <c r="B81" s="6" t="s">
        <v>267</v>
      </c>
      <c r="C81" s="6">
        <v>3</v>
      </c>
      <c r="D81" s="9" t="s">
        <v>73</v>
      </c>
      <c r="E81" s="6" t="s">
        <v>16</v>
      </c>
      <c r="F81" s="6">
        <v>1</v>
      </c>
      <c r="G81" s="7">
        <v>249</v>
      </c>
      <c r="H81" s="6" t="s">
        <v>38</v>
      </c>
      <c r="I81" s="6" t="s">
        <v>11</v>
      </c>
      <c r="J81" s="6">
        <v>1</v>
      </c>
      <c r="K81" s="7">
        <v>299</v>
      </c>
      <c r="L81" s="6" t="s">
        <v>64</v>
      </c>
      <c r="M81" s="6" t="s">
        <v>10</v>
      </c>
      <c r="N81" s="6">
        <v>1</v>
      </c>
      <c r="O81" s="7">
        <v>225</v>
      </c>
      <c r="P81" s="14">
        <f t="shared" si="2"/>
        <v>773</v>
      </c>
      <c r="Q81" s="6" t="s">
        <v>117</v>
      </c>
      <c r="R81" s="6" t="s">
        <v>118</v>
      </c>
    </row>
    <row r="82" spans="1:18" ht="15" customHeight="1" x14ac:dyDescent="0.35">
      <c r="A82" s="2" t="s">
        <v>268</v>
      </c>
      <c r="B82" s="3" t="s">
        <v>267</v>
      </c>
      <c r="C82" s="3">
        <v>2</v>
      </c>
      <c r="D82" s="3" t="s">
        <v>33</v>
      </c>
      <c r="E82" s="3" t="s">
        <v>11</v>
      </c>
      <c r="F82" s="3">
        <v>1</v>
      </c>
      <c r="G82" s="4">
        <v>375</v>
      </c>
      <c r="H82" s="3" t="s">
        <v>66</v>
      </c>
      <c r="I82" s="3" t="s">
        <v>10</v>
      </c>
      <c r="J82" s="3">
        <v>1</v>
      </c>
      <c r="K82" s="4">
        <v>199</v>
      </c>
      <c r="L82" s="3" t="s">
        <v>116</v>
      </c>
      <c r="M82" s="3" t="s">
        <v>116</v>
      </c>
      <c r="N82" s="3" t="s">
        <v>116</v>
      </c>
      <c r="O82" s="3" t="s">
        <v>116</v>
      </c>
      <c r="P82" s="4">
        <f t="shared" si="2"/>
        <v>574</v>
      </c>
      <c r="Q82" s="3" t="s">
        <v>117</v>
      </c>
      <c r="R82" s="3" t="s">
        <v>118</v>
      </c>
    </row>
    <row r="83" spans="1:18" ht="15" customHeight="1" x14ac:dyDescent="0.35">
      <c r="A83" s="5" t="s">
        <v>269</v>
      </c>
      <c r="B83" s="6" t="s">
        <v>270</v>
      </c>
      <c r="C83" s="6">
        <v>1</v>
      </c>
      <c r="D83" s="6" t="s">
        <v>49</v>
      </c>
      <c r="E83" s="6" t="s">
        <v>10</v>
      </c>
      <c r="F83" s="6">
        <v>2</v>
      </c>
      <c r="G83" s="7">
        <v>275</v>
      </c>
      <c r="H83" s="6" t="s">
        <v>116</v>
      </c>
      <c r="I83" s="6" t="s">
        <v>116</v>
      </c>
      <c r="J83" s="6" t="s">
        <v>116</v>
      </c>
      <c r="K83" s="6" t="s">
        <v>116</v>
      </c>
      <c r="L83" s="6" t="s">
        <v>116</v>
      </c>
      <c r="M83" s="6" t="s">
        <v>116</v>
      </c>
      <c r="N83" s="6" t="s">
        <v>116</v>
      </c>
      <c r="O83" s="6" t="s">
        <v>116</v>
      </c>
      <c r="P83" s="14">
        <f t="shared" si="2"/>
        <v>550</v>
      </c>
      <c r="Q83" s="6" t="s">
        <v>117</v>
      </c>
      <c r="R83" s="6" t="s">
        <v>118</v>
      </c>
    </row>
    <row r="84" spans="1:18" ht="15" customHeight="1" x14ac:dyDescent="0.35">
      <c r="A84" s="2" t="s">
        <v>271</v>
      </c>
      <c r="B84" s="3" t="s">
        <v>270</v>
      </c>
      <c r="C84" s="3">
        <v>3</v>
      </c>
      <c r="D84" s="3" t="s">
        <v>78</v>
      </c>
      <c r="E84" s="3" t="s">
        <v>11</v>
      </c>
      <c r="F84" s="3">
        <v>1</v>
      </c>
      <c r="G84" s="4">
        <v>199</v>
      </c>
      <c r="H84" s="3" t="s">
        <v>64</v>
      </c>
      <c r="I84" s="3" t="s">
        <v>10</v>
      </c>
      <c r="J84" s="3">
        <v>1</v>
      </c>
      <c r="K84" s="4">
        <v>225</v>
      </c>
      <c r="L84" s="10" t="s">
        <v>72</v>
      </c>
      <c r="M84" s="3" t="s">
        <v>16</v>
      </c>
      <c r="N84" s="3">
        <v>1</v>
      </c>
      <c r="O84" s="4">
        <v>249</v>
      </c>
      <c r="P84" s="4">
        <f t="shared" si="2"/>
        <v>673</v>
      </c>
      <c r="Q84" s="3" t="s">
        <v>117</v>
      </c>
      <c r="R84" s="3" t="s">
        <v>118</v>
      </c>
    </row>
    <row r="85" spans="1:18" ht="15" customHeight="1" x14ac:dyDescent="0.35">
      <c r="A85" s="5" t="s">
        <v>272</v>
      </c>
      <c r="B85" s="6" t="s">
        <v>273</v>
      </c>
      <c r="C85" s="6">
        <v>2</v>
      </c>
      <c r="D85" s="6" t="s">
        <v>67</v>
      </c>
      <c r="E85" s="6" t="s">
        <v>19</v>
      </c>
      <c r="F85" s="6">
        <v>1</v>
      </c>
      <c r="G85" s="7">
        <v>199</v>
      </c>
      <c r="H85" s="6" t="s">
        <v>44</v>
      </c>
      <c r="I85" s="6" t="s">
        <v>10</v>
      </c>
      <c r="J85" s="6">
        <v>2</v>
      </c>
      <c r="K85" s="7">
        <v>175</v>
      </c>
      <c r="L85" s="6" t="s">
        <v>116</v>
      </c>
      <c r="M85" s="6" t="s">
        <v>116</v>
      </c>
      <c r="N85" s="6" t="s">
        <v>116</v>
      </c>
      <c r="O85" s="6" t="s">
        <v>116</v>
      </c>
      <c r="P85" s="14">
        <f t="shared" si="2"/>
        <v>549</v>
      </c>
      <c r="Q85" s="6" t="s">
        <v>145</v>
      </c>
      <c r="R85" s="6" t="s">
        <v>118</v>
      </c>
    </row>
    <row r="86" spans="1:18" ht="15" customHeight="1" x14ac:dyDescent="0.35">
      <c r="A86" s="2" t="s">
        <v>274</v>
      </c>
      <c r="B86" s="3" t="s">
        <v>273</v>
      </c>
      <c r="C86" s="3">
        <v>1</v>
      </c>
      <c r="D86" s="10" t="s">
        <v>73</v>
      </c>
      <c r="E86" s="3" t="s">
        <v>16</v>
      </c>
      <c r="F86" s="3">
        <v>1</v>
      </c>
      <c r="G86" s="4">
        <v>249</v>
      </c>
      <c r="H86" s="3" t="s">
        <v>116</v>
      </c>
      <c r="I86" s="3" t="s">
        <v>116</v>
      </c>
      <c r="J86" s="3" t="s">
        <v>116</v>
      </c>
      <c r="K86" s="3" t="s">
        <v>116</v>
      </c>
      <c r="L86" s="3" t="s">
        <v>116</v>
      </c>
      <c r="M86" s="3" t="s">
        <v>116</v>
      </c>
      <c r="N86" s="3" t="s">
        <v>116</v>
      </c>
      <c r="O86" s="3" t="s">
        <v>116</v>
      </c>
      <c r="P86" s="4">
        <f t="shared" si="2"/>
        <v>249</v>
      </c>
      <c r="Q86" s="3" t="s">
        <v>117</v>
      </c>
      <c r="R86" s="3" t="s">
        <v>118</v>
      </c>
    </row>
    <row r="87" spans="1:18" ht="15" customHeight="1" x14ac:dyDescent="0.35">
      <c r="A87" s="5" t="s">
        <v>275</v>
      </c>
      <c r="B87" s="6" t="s">
        <v>276</v>
      </c>
      <c r="C87" s="6">
        <v>3</v>
      </c>
      <c r="D87" s="6" t="s">
        <v>31</v>
      </c>
      <c r="E87" s="6" t="s">
        <v>11</v>
      </c>
      <c r="F87" s="6">
        <v>1</v>
      </c>
      <c r="G87" s="7">
        <v>399</v>
      </c>
      <c r="H87" s="6" t="s">
        <v>13</v>
      </c>
      <c r="I87" s="6" t="s">
        <v>10</v>
      </c>
      <c r="J87" s="6">
        <v>1</v>
      </c>
      <c r="K87" s="7">
        <v>499</v>
      </c>
      <c r="L87" s="9" t="s">
        <v>94</v>
      </c>
      <c r="M87" s="6" t="s">
        <v>16</v>
      </c>
      <c r="N87" s="6">
        <v>1</v>
      </c>
      <c r="O87" s="7">
        <v>75</v>
      </c>
      <c r="P87" s="14">
        <f t="shared" si="2"/>
        <v>973</v>
      </c>
      <c r="Q87" s="6" t="s">
        <v>117</v>
      </c>
      <c r="R87" s="6" t="s">
        <v>118</v>
      </c>
    </row>
    <row r="88" spans="1:18" ht="15" customHeight="1" x14ac:dyDescent="0.35">
      <c r="A88" s="2" t="s">
        <v>277</v>
      </c>
      <c r="B88" s="3" t="s">
        <v>276</v>
      </c>
      <c r="C88" s="3">
        <v>2</v>
      </c>
      <c r="D88" s="3" t="s">
        <v>46</v>
      </c>
      <c r="E88" s="3" t="s">
        <v>11</v>
      </c>
      <c r="F88" s="3">
        <v>1</v>
      </c>
      <c r="G88" s="4">
        <v>275</v>
      </c>
      <c r="H88" s="3" t="s">
        <v>43</v>
      </c>
      <c r="I88" s="3" t="s">
        <v>10</v>
      </c>
      <c r="J88" s="3">
        <v>1</v>
      </c>
      <c r="K88" s="4">
        <v>175</v>
      </c>
      <c r="L88" s="3" t="s">
        <v>116</v>
      </c>
      <c r="M88" s="3" t="s">
        <v>116</v>
      </c>
      <c r="N88" s="3" t="s">
        <v>116</v>
      </c>
      <c r="O88" s="3" t="s">
        <v>116</v>
      </c>
      <c r="P88" s="4">
        <f t="shared" si="2"/>
        <v>450</v>
      </c>
      <c r="Q88" s="3" t="s">
        <v>117</v>
      </c>
      <c r="R88" s="3" t="s">
        <v>118</v>
      </c>
    </row>
    <row r="89" spans="1:18" ht="23.9" customHeight="1" x14ac:dyDescent="0.35">
      <c r="A89" s="5" t="s">
        <v>278</v>
      </c>
      <c r="B89" s="6" t="s">
        <v>279</v>
      </c>
      <c r="C89" s="6">
        <v>1</v>
      </c>
      <c r="D89" s="9" t="s">
        <v>75</v>
      </c>
      <c r="E89" s="6" t="s">
        <v>16</v>
      </c>
      <c r="F89" s="6">
        <v>2</v>
      </c>
      <c r="G89" s="7">
        <v>150</v>
      </c>
      <c r="H89" s="6" t="s">
        <v>116</v>
      </c>
      <c r="I89" s="6" t="s">
        <v>116</v>
      </c>
      <c r="J89" s="6" t="s">
        <v>116</v>
      </c>
      <c r="K89" s="6" t="s">
        <v>116</v>
      </c>
      <c r="L89" s="6" t="s">
        <v>116</v>
      </c>
      <c r="M89" s="6" t="s">
        <v>116</v>
      </c>
      <c r="N89" s="6" t="s">
        <v>116</v>
      </c>
      <c r="O89" s="6" t="s">
        <v>116</v>
      </c>
      <c r="P89" s="14">
        <f t="shared" si="2"/>
        <v>300</v>
      </c>
      <c r="Q89" s="6" t="s">
        <v>117</v>
      </c>
      <c r="R89" s="6" t="s">
        <v>118</v>
      </c>
    </row>
    <row r="90" spans="1:18" ht="15" customHeight="1" x14ac:dyDescent="0.35">
      <c r="A90" s="2" t="s">
        <v>280</v>
      </c>
      <c r="B90" s="3" t="s">
        <v>279</v>
      </c>
      <c r="C90" s="3">
        <v>3</v>
      </c>
      <c r="D90" s="3" t="s">
        <v>39</v>
      </c>
      <c r="E90" s="3" t="s">
        <v>11</v>
      </c>
      <c r="F90" s="3">
        <v>1</v>
      </c>
      <c r="G90" s="4">
        <v>299</v>
      </c>
      <c r="H90" s="3" t="s">
        <v>66</v>
      </c>
      <c r="I90" s="3" t="s">
        <v>10</v>
      </c>
      <c r="J90" s="3">
        <v>1</v>
      </c>
      <c r="K90" s="4">
        <v>199</v>
      </c>
      <c r="L90" s="3" t="s">
        <v>67</v>
      </c>
      <c r="M90" s="3" t="s">
        <v>19</v>
      </c>
      <c r="N90" s="3">
        <v>1</v>
      </c>
      <c r="O90" s="4">
        <v>199</v>
      </c>
      <c r="P90" s="4">
        <f t="shared" si="2"/>
        <v>697</v>
      </c>
      <c r="Q90" s="3" t="s">
        <v>117</v>
      </c>
      <c r="R90" s="3" t="s">
        <v>118</v>
      </c>
    </row>
    <row r="91" spans="1:18" ht="15" customHeight="1" x14ac:dyDescent="0.35">
      <c r="A91" s="5" t="s">
        <v>281</v>
      </c>
      <c r="B91" s="6" t="s">
        <v>282</v>
      </c>
      <c r="C91" s="6">
        <v>2</v>
      </c>
      <c r="D91" s="6" t="s">
        <v>64</v>
      </c>
      <c r="E91" s="6" t="s">
        <v>10</v>
      </c>
      <c r="F91" s="6">
        <v>1</v>
      </c>
      <c r="G91" s="7">
        <v>225</v>
      </c>
      <c r="H91" s="6" t="s">
        <v>33</v>
      </c>
      <c r="I91" s="6" t="s">
        <v>11</v>
      </c>
      <c r="J91" s="6">
        <v>1</v>
      </c>
      <c r="K91" s="7">
        <v>375</v>
      </c>
      <c r="L91" s="6" t="s">
        <v>116</v>
      </c>
      <c r="M91" s="6" t="s">
        <v>116</v>
      </c>
      <c r="N91" s="6" t="s">
        <v>116</v>
      </c>
      <c r="O91" s="6" t="s">
        <v>116</v>
      </c>
      <c r="P91" s="14">
        <f t="shared" si="2"/>
        <v>600</v>
      </c>
      <c r="Q91" s="6" t="s">
        <v>117</v>
      </c>
      <c r="R91" s="6" t="s">
        <v>118</v>
      </c>
    </row>
    <row r="92" spans="1:18" ht="15" customHeight="1" x14ac:dyDescent="0.35">
      <c r="A92" s="2" t="s">
        <v>283</v>
      </c>
      <c r="B92" s="3" t="s">
        <v>282</v>
      </c>
      <c r="C92" s="3">
        <v>2</v>
      </c>
      <c r="D92" s="3" t="s">
        <v>25</v>
      </c>
      <c r="E92" s="3" t="s">
        <v>11</v>
      </c>
      <c r="F92" s="3">
        <v>1</v>
      </c>
      <c r="G92" s="4">
        <v>249</v>
      </c>
      <c r="H92" s="3" t="s">
        <v>32</v>
      </c>
      <c r="I92" s="3" t="s">
        <v>11</v>
      </c>
      <c r="J92" s="3">
        <v>1</v>
      </c>
      <c r="K92" s="4">
        <v>299</v>
      </c>
      <c r="L92" s="3" t="s">
        <v>116</v>
      </c>
      <c r="M92" s="3" t="s">
        <v>116</v>
      </c>
      <c r="N92" s="3" t="s">
        <v>116</v>
      </c>
      <c r="O92" s="3" t="s">
        <v>116</v>
      </c>
      <c r="P92" s="4">
        <f t="shared" si="2"/>
        <v>548</v>
      </c>
      <c r="Q92" s="3" t="s">
        <v>123</v>
      </c>
      <c r="R92" s="3" t="s">
        <v>118</v>
      </c>
    </row>
    <row r="93" spans="1:18" ht="15" customHeight="1" x14ac:dyDescent="0.35">
      <c r="A93" s="5" t="s">
        <v>284</v>
      </c>
      <c r="B93" s="6" t="s">
        <v>285</v>
      </c>
      <c r="C93" s="6">
        <v>3</v>
      </c>
      <c r="D93" s="6" t="s">
        <v>95</v>
      </c>
      <c r="E93" s="6" t="s">
        <v>16</v>
      </c>
      <c r="F93" s="6">
        <v>1</v>
      </c>
      <c r="G93" s="7">
        <v>149</v>
      </c>
      <c r="H93" s="6" t="s">
        <v>88</v>
      </c>
      <c r="I93" s="6" t="s">
        <v>10</v>
      </c>
      <c r="J93" s="6">
        <v>1</v>
      </c>
      <c r="K93" s="7">
        <v>299</v>
      </c>
      <c r="L93" s="6" t="s">
        <v>31</v>
      </c>
      <c r="M93" s="6" t="s">
        <v>11</v>
      </c>
      <c r="N93" s="6">
        <v>1</v>
      </c>
      <c r="O93" s="7">
        <v>399</v>
      </c>
      <c r="P93" s="14">
        <f t="shared" si="2"/>
        <v>847</v>
      </c>
      <c r="Q93" s="6" t="s">
        <v>117</v>
      </c>
      <c r="R93" s="6" t="s">
        <v>118</v>
      </c>
    </row>
    <row r="94" spans="1:18" ht="15" customHeight="1" x14ac:dyDescent="0.35">
      <c r="A94" s="2" t="s">
        <v>286</v>
      </c>
      <c r="B94" s="3" t="s">
        <v>287</v>
      </c>
      <c r="C94" s="3">
        <v>2</v>
      </c>
      <c r="D94" s="3" t="s">
        <v>74</v>
      </c>
      <c r="E94" s="3" t="s">
        <v>11</v>
      </c>
      <c r="F94" s="3">
        <v>1</v>
      </c>
      <c r="G94" s="4">
        <v>475</v>
      </c>
      <c r="H94" s="3" t="s">
        <v>36</v>
      </c>
      <c r="I94" s="3" t="s">
        <v>11</v>
      </c>
      <c r="J94" s="3">
        <v>1</v>
      </c>
      <c r="K94" s="4">
        <v>349</v>
      </c>
      <c r="L94" s="3" t="s">
        <v>116</v>
      </c>
      <c r="M94" s="3" t="s">
        <v>116</v>
      </c>
      <c r="N94" s="3" t="s">
        <v>116</v>
      </c>
      <c r="O94" s="3" t="s">
        <v>116</v>
      </c>
      <c r="P94" s="4">
        <f t="shared" si="2"/>
        <v>824</v>
      </c>
      <c r="Q94" s="3" t="s">
        <v>117</v>
      </c>
      <c r="R94" s="3" t="s">
        <v>118</v>
      </c>
    </row>
    <row r="95" spans="1:18" ht="15" customHeight="1" x14ac:dyDescent="0.35">
      <c r="A95" s="5" t="s">
        <v>288</v>
      </c>
      <c r="B95" s="6" t="s">
        <v>289</v>
      </c>
      <c r="C95" s="6">
        <v>3</v>
      </c>
      <c r="D95" s="6" t="s">
        <v>53</v>
      </c>
      <c r="E95" s="6" t="s">
        <v>10</v>
      </c>
      <c r="F95" s="6">
        <v>1</v>
      </c>
      <c r="G95" s="7">
        <v>199</v>
      </c>
      <c r="H95" s="6" t="s">
        <v>76</v>
      </c>
      <c r="I95" s="6" t="s">
        <v>11</v>
      </c>
      <c r="J95" s="6">
        <v>1</v>
      </c>
      <c r="K95" s="7">
        <v>215</v>
      </c>
      <c r="L95" s="9" t="s">
        <v>68</v>
      </c>
      <c r="M95" s="6" t="s">
        <v>16</v>
      </c>
      <c r="N95" s="6">
        <v>1</v>
      </c>
      <c r="O95" s="7">
        <v>149</v>
      </c>
      <c r="P95" s="14">
        <f t="shared" si="2"/>
        <v>563</v>
      </c>
      <c r="Q95" s="6" t="s">
        <v>117</v>
      </c>
      <c r="R95" s="6" t="s">
        <v>118</v>
      </c>
    </row>
    <row r="96" spans="1:18" ht="23.9" customHeight="1" x14ac:dyDescent="0.35">
      <c r="A96" s="2" t="s">
        <v>290</v>
      </c>
      <c r="B96" s="3" t="s">
        <v>291</v>
      </c>
      <c r="C96" s="3">
        <v>1</v>
      </c>
      <c r="D96" s="3" t="s">
        <v>54</v>
      </c>
      <c r="E96" s="3" t="s">
        <v>19</v>
      </c>
      <c r="F96" s="3">
        <v>2</v>
      </c>
      <c r="G96" s="4">
        <v>199</v>
      </c>
      <c r="H96" s="3" t="s">
        <v>116</v>
      </c>
      <c r="I96" s="3" t="s">
        <v>116</v>
      </c>
      <c r="J96" s="3" t="s">
        <v>116</v>
      </c>
      <c r="K96" s="3" t="s">
        <v>116</v>
      </c>
      <c r="L96" s="3" t="s">
        <v>116</v>
      </c>
      <c r="M96" s="3" t="s">
        <v>116</v>
      </c>
      <c r="N96" s="3" t="s">
        <v>116</v>
      </c>
      <c r="O96" s="3" t="s">
        <v>116</v>
      </c>
      <c r="P96" s="4">
        <f t="shared" si="2"/>
        <v>398</v>
      </c>
      <c r="Q96" s="3" t="s">
        <v>117</v>
      </c>
      <c r="R96" s="3" t="s">
        <v>118</v>
      </c>
    </row>
    <row r="97" spans="1:18" ht="15" customHeight="1" x14ac:dyDescent="0.35">
      <c r="A97" s="5" t="s">
        <v>292</v>
      </c>
      <c r="B97" s="6" t="s">
        <v>293</v>
      </c>
      <c r="C97" s="6">
        <v>1</v>
      </c>
      <c r="D97" s="6" t="s">
        <v>25</v>
      </c>
      <c r="E97" s="6" t="s">
        <v>11</v>
      </c>
      <c r="F97" s="6">
        <v>1</v>
      </c>
      <c r="G97" s="7">
        <v>249</v>
      </c>
      <c r="H97" s="6" t="s">
        <v>116</v>
      </c>
      <c r="I97" s="6" t="s">
        <v>116</v>
      </c>
      <c r="J97" s="6" t="s">
        <v>116</v>
      </c>
      <c r="K97" s="6" t="s">
        <v>116</v>
      </c>
      <c r="L97" s="6" t="s">
        <v>116</v>
      </c>
      <c r="M97" s="6" t="s">
        <v>116</v>
      </c>
      <c r="N97" s="6" t="s">
        <v>116</v>
      </c>
      <c r="O97" s="6" t="s">
        <v>116</v>
      </c>
      <c r="P97" s="14">
        <f t="shared" si="2"/>
        <v>249</v>
      </c>
      <c r="Q97" s="6" t="s">
        <v>117</v>
      </c>
      <c r="R97" s="6" t="s">
        <v>118</v>
      </c>
    </row>
    <row r="98" spans="1:18" ht="35" customHeight="1" x14ac:dyDescent="0.35">
      <c r="A98" s="2" t="s">
        <v>294</v>
      </c>
      <c r="B98" s="3" t="s">
        <v>295</v>
      </c>
      <c r="C98" s="3">
        <v>3</v>
      </c>
      <c r="D98" s="10" t="s">
        <v>296</v>
      </c>
      <c r="E98" s="3" t="s">
        <v>16</v>
      </c>
      <c r="F98" s="3">
        <v>1</v>
      </c>
      <c r="G98" s="4">
        <v>249</v>
      </c>
      <c r="H98" s="10" t="s">
        <v>91</v>
      </c>
      <c r="I98" s="3" t="s">
        <v>16</v>
      </c>
      <c r="J98" s="3">
        <v>1</v>
      </c>
      <c r="K98" s="4">
        <v>249</v>
      </c>
      <c r="L98" s="3" t="s">
        <v>87</v>
      </c>
      <c r="M98" s="3" t="s">
        <v>11</v>
      </c>
      <c r="N98" s="3">
        <v>1</v>
      </c>
      <c r="O98" s="4">
        <v>349</v>
      </c>
      <c r="P98" s="4">
        <f>IFERROR(F98*G98,0)+IFERROR(J98*K98,0)+IFERROR(N98*O98,0)</f>
        <v>847</v>
      </c>
      <c r="Q98" s="3" t="s">
        <v>117</v>
      </c>
      <c r="R98" s="3" t="s">
        <v>118</v>
      </c>
    </row>
    <row r="99" spans="1:18" ht="15" customHeight="1" x14ac:dyDescent="0.35">
      <c r="A99" s="5" t="s">
        <v>297</v>
      </c>
      <c r="B99" s="6" t="s">
        <v>298</v>
      </c>
      <c r="C99" s="6">
        <v>2</v>
      </c>
      <c r="D99" s="6" t="s">
        <v>18</v>
      </c>
      <c r="E99" s="6" t="s">
        <v>11</v>
      </c>
      <c r="F99" s="6">
        <v>2</v>
      </c>
      <c r="G99" s="7">
        <v>349</v>
      </c>
      <c r="H99" s="6" t="s">
        <v>58</v>
      </c>
      <c r="I99" s="6" t="s">
        <v>11</v>
      </c>
      <c r="J99" s="6">
        <v>1</v>
      </c>
      <c r="K99" s="7">
        <v>249</v>
      </c>
      <c r="L99" s="6" t="s">
        <v>116</v>
      </c>
      <c r="M99" s="6" t="s">
        <v>116</v>
      </c>
      <c r="N99" s="6" t="s">
        <v>116</v>
      </c>
      <c r="O99" s="6" t="s">
        <v>116</v>
      </c>
      <c r="P99" s="14">
        <f>IFERROR(F99*G99,0)+IFERROR(J99*K99,0)+IFERROR(N99*O99,0)</f>
        <v>947</v>
      </c>
      <c r="Q99" s="6" t="s">
        <v>117</v>
      </c>
      <c r="R99" s="6" t="s">
        <v>118</v>
      </c>
    </row>
    <row r="100" spans="1:18" ht="15" customHeight="1" x14ac:dyDescent="0.35">
      <c r="A100" s="2" t="s">
        <v>299</v>
      </c>
      <c r="B100" s="3" t="s">
        <v>300</v>
      </c>
      <c r="C100" s="3">
        <v>1</v>
      </c>
      <c r="D100" s="3" t="s">
        <v>46</v>
      </c>
      <c r="E100" s="3" t="s">
        <v>11</v>
      </c>
      <c r="F100" s="3">
        <v>1</v>
      </c>
      <c r="G100" s="4">
        <v>275</v>
      </c>
      <c r="H100" s="3" t="s">
        <v>116</v>
      </c>
      <c r="I100" s="3" t="s">
        <v>116</v>
      </c>
      <c r="J100" s="3" t="s">
        <v>116</v>
      </c>
      <c r="K100" s="3" t="s">
        <v>116</v>
      </c>
      <c r="L100" s="3" t="s">
        <v>116</v>
      </c>
      <c r="M100" s="3" t="s">
        <v>116</v>
      </c>
      <c r="N100" s="3" t="s">
        <v>116</v>
      </c>
      <c r="O100" s="3" t="s">
        <v>116</v>
      </c>
      <c r="P100" s="4">
        <f>IFERROR(F100*G100,0)+IFERROR(J100*K100,0)+IFERROR(N100*O100,0)</f>
        <v>275</v>
      </c>
      <c r="Q100" s="3" t="s">
        <v>117</v>
      </c>
      <c r="R100" s="3" t="s">
        <v>118</v>
      </c>
    </row>
    <row r="101" spans="1:18" ht="15" customHeight="1" x14ac:dyDescent="0.35">
      <c r="A101" s="5" t="s">
        <v>301</v>
      </c>
      <c r="B101" s="6" t="s">
        <v>302</v>
      </c>
      <c r="C101" s="6">
        <v>1</v>
      </c>
      <c r="D101" s="6" t="s">
        <v>89</v>
      </c>
      <c r="E101" s="6" t="s">
        <v>10</v>
      </c>
      <c r="F101" s="6">
        <v>1</v>
      </c>
      <c r="G101" s="7">
        <v>299</v>
      </c>
      <c r="H101" s="6" t="s">
        <v>116</v>
      </c>
      <c r="I101" s="6" t="s">
        <v>116</v>
      </c>
      <c r="J101" s="6" t="s">
        <v>116</v>
      </c>
      <c r="K101" s="6" t="s">
        <v>116</v>
      </c>
      <c r="L101" s="6" t="s">
        <v>116</v>
      </c>
      <c r="M101" s="6" t="s">
        <v>116</v>
      </c>
      <c r="N101" s="6" t="s">
        <v>116</v>
      </c>
      <c r="O101" s="6" t="s">
        <v>116</v>
      </c>
      <c r="P101" s="14">
        <f>IFERROR(F101*G101,0)+IFERROR(J101*K101,0)+IFERROR(N101*O101,0)</f>
        <v>299</v>
      </c>
      <c r="Q101" s="6" t="s">
        <v>117</v>
      </c>
      <c r="R101" s="6" t="s">
        <v>118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05"/>
  <sheetViews>
    <sheetView showGridLines="0" topLeftCell="A14" zoomScale="46" zoomScaleNormal="46" workbookViewId="0">
      <selection activeCell="K40" sqref="K40"/>
    </sheetView>
  </sheetViews>
  <sheetFormatPr defaultColWidth="8.6328125" defaultRowHeight="14.5" x14ac:dyDescent="0.35"/>
  <cols>
    <col min="1" max="1" width="5" customWidth="1"/>
    <col min="2" max="2" width="10" customWidth="1"/>
    <col min="3" max="3" width="46" customWidth="1"/>
    <col min="4" max="4" width="13" customWidth="1"/>
    <col min="5" max="5" width="18" customWidth="1"/>
    <col min="6" max="6" width="6" customWidth="1"/>
    <col min="7" max="8" width="14" customWidth="1"/>
    <col min="9" max="9" width="8.6328125" customWidth="1"/>
    <col min="10" max="10" width="7.81640625" customWidth="1"/>
    <col min="11" max="11" width="12.36328125" bestFit="1" customWidth="1"/>
    <col min="12" max="12" width="25.36328125" customWidth="1"/>
    <col min="13" max="14" width="7.54296875" bestFit="1" customWidth="1"/>
    <col min="15" max="15" width="11.1796875" customWidth="1"/>
    <col min="16" max="16" width="10" customWidth="1"/>
    <col min="17" max="17" width="7.54296875" bestFit="1" customWidth="1"/>
    <col min="18" max="18" width="9.81640625" customWidth="1"/>
    <col min="19" max="19" width="15.36328125" customWidth="1"/>
    <col min="20" max="20" width="13.1796875" customWidth="1"/>
    <col min="21" max="22" width="7.54296875" bestFit="1" customWidth="1"/>
    <col min="23" max="23" width="21" customWidth="1"/>
    <col min="24" max="24" width="9.08984375" customWidth="1"/>
    <col min="25" max="25" width="5.81640625" customWidth="1"/>
    <col min="26" max="26" width="7.54296875" bestFit="1" customWidth="1"/>
    <col min="27" max="27" width="7.7265625" customWidth="1"/>
    <col min="28" max="29" width="12.7265625" bestFit="1" customWidth="1"/>
    <col min="30" max="33" width="7.54296875" bestFit="1" customWidth="1"/>
    <col min="34" max="34" width="14" customWidth="1"/>
    <col min="35" max="35" width="6" customWidth="1"/>
    <col min="36" max="36" width="7.54296875" bestFit="1" customWidth="1"/>
    <col min="37" max="37" width="12.1796875" customWidth="1"/>
    <col min="38" max="111" width="7.54296875" bestFit="1" customWidth="1"/>
    <col min="112" max="112" width="10.7265625" bestFit="1" customWidth="1"/>
  </cols>
  <sheetData>
    <row r="1" spans="1:29" ht="31.5" customHeight="1" x14ac:dyDescent="0.35">
      <c r="A1" s="1" t="s">
        <v>0</v>
      </c>
      <c r="B1" s="1" t="s">
        <v>96</v>
      </c>
      <c r="C1" s="1" t="s">
        <v>1</v>
      </c>
      <c r="D1" s="1" t="s">
        <v>2</v>
      </c>
      <c r="E1" s="1" t="s">
        <v>97</v>
      </c>
      <c r="F1" s="1" t="s">
        <v>303</v>
      </c>
      <c r="G1" s="1" t="s">
        <v>4</v>
      </c>
      <c r="H1" s="1" t="s">
        <v>304</v>
      </c>
      <c r="I1" s="1" t="s">
        <v>305</v>
      </c>
      <c r="K1" s="11" t="s">
        <v>2</v>
      </c>
      <c r="L1" t="s">
        <v>306</v>
      </c>
    </row>
    <row r="2" spans="1:29" ht="15" customHeight="1" x14ac:dyDescent="0.35">
      <c r="A2" s="2">
        <v>1</v>
      </c>
      <c r="B2" s="2" t="s">
        <v>114</v>
      </c>
      <c r="C2" s="3" t="s">
        <v>42</v>
      </c>
      <c r="D2" s="3" t="s">
        <v>10</v>
      </c>
      <c r="E2" s="3" t="s">
        <v>115</v>
      </c>
      <c r="F2" s="3">
        <v>1</v>
      </c>
      <c r="G2" s="4">
        <v>175</v>
      </c>
      <c r="H2" s="4">
        <f t="shared" ref="H2:H65" si="0">F2*G2</f>
        <v>175</v>
      </c>
      <c r="I2" s="4" t="str">
        <f t="shared" ref="I2:I65" si="1">TEXT(DATE(RIGHT(E2,4),MID(E2,4,2),LEFT(E2,2)),"MMM")</f>
        <v>Mar</v>
      </c>
      <c r="K2" s="12" t="s">
        <v>11</v>
      </c>
      <c r="L2">
        <v>68</v>
      </c>
    </row>
    <row r="3" spans="1:29" ht="15" customHeight="1" x14ac:dyDescent="0.35">
      <c r="A3" s="5">
        <v>2</v>
      </c>
      <c r="B3" s="5" t="s">
        <v>114</v>
      </c>
      <c r="C3" s="6" t="s">
        <v>59</v>
      </c>
      <c r="D3" s="6" t="s">
        <v>10</v>
      </c>
      <c r="E3" s="6" t="s">
        <v>115</v>
      </c>
      <c r="F3" s="6">
        <v>1</v>
      </c>
      <c r="G3" s="7">
        <v>249</v>
      </c>
      <c r="H3" s="14">
        <f t="shared" si="0"/>
        <v>249</v>
      </c>
      <c r="I3" s="14" t="str">
        <f t="shared" si="1"/>
        <v>Mar</v>
      </c>
      <c r="K3" s="12" t="s">
        <v>10</v>
      </c>
      <c r="L3">
        <v>102</v>
      </c>
      <c r="W3" s="15" t="s">
        <v>307</v>
      </c>
      <c r="X3" s="16"/>
    </row>
    <row r="4" spans="1:29" ht="15" customHeight="1" x14ac:dyDescent="0.35">
      <c r="A4" s="2">
        <v>3</v>
      </c>
      <c r="B4" s="2" t="s">
        <v>119</v>
      </c>
      <c r="C4" s="3" t="s">
        <v>51</v>
      </c>
      <c r="D4" s="3" t="s">
        <v>11</v>
      </c>
      <c r="E4" s="3" t="s">
        <v>120</v>
      </c>
      <c r="F4" s="3">
        <v>1</v>
      </c>
      <c r="G4" s="4">
        <v>399</v>
      </c>
      <c r="H4" s="4">
        <f t="shared" si="0"/>
        <v>399</v>
      </c>
      <c r="I4" s="4" t="str">
        <f t="shared" si="1"/>
        <v>Mar</v>
      </c>
      <c r="K4" s="12" t="s">
        <v>19</v>
      </c>
      <c r="L4">
        <v>20</v>
      </c>
      <c r="W4" s="17" t="s">
        <v>308</v>
      </c>
      <c r="X4" s="18">
        <f>COUNTIF($I$2:$I$205,"Mar")</f>
        <v>45</v>
      </c>
    </row>
    <row r="5" spans="1:29" ht="15" customHeight="1" x14ac:dyDescent="0.35">
      <c r="A5" s="5">
        <v>4</v>
      </c>
      <c r="B5" s="5" t="s">
        <v>121</v>
      </c>
      <c r="C5" s="6" t="s">
        <v>29</v>
      </c>
      <c r="D5" s="6" t="s">
        <v>11</v>
      </c>
      <c r="E5" s="6" t="s">
        <v>122</v>
      </c>
      <c r="F5" s="6">
        <v>1</v>
      </c>
      <c r="G5" s="7">
        <v>399</v>
      </c>
      <c r="H5" s="14">
        <f t="shared" si="0"/>
        <v>399</v>
      </c>
      <c r="I5" s="14" t="str">
        <f t="shared" si="1"/>
        <v>Mar</v>
      </c>
      <c r="K5" s="12" t="s">
        <v>16</v>
      </c>
      <c r="L5">
        <v>39</v>
      </c>
      <c r="W5" s="17" t="s">
        <v>309</v>
      </c>
      <c r="X5" s="18">
        <f>COUNTIF($I$2:$I$205,"Apr")</f>
        <v>67</v>
      </c>
    </row>
    <row r="6" spans="1:29" ht="15" customHeight="1" x14ac:dyDescent="0.35">
      <c r="A6" s="2">
        <v>5</v>
      </c>
      <c r="B6" s="2" t="s">
        <v>121</v>
      </c>
      <c r="C6" s="3" t="s">
        <v>27</v>
      </c>
      <c r="D6" s="3" t="s">
        <v>10</v>
      </c>
      <c r="E6" s="3" t="s">
        <v>122</v>
      </c>
      <c r="F6" s="3">
        <v>3</v>
      </c>
      <c r="G6" s="4">
        <v>175</v>
      </c>
      <c r="H6" s="4">
        <f t="shared" si="0"/>
        <v>525</v>
      </c>
      <c r="I6" s="4" t="str">
        <f t="shared" si="1"/>
        <v>Mar</v>
      </c>
      <c r="K6" s="12" t="s">
        <v>310</v>
      </c>
      <c r="L6">
        <v>229</v>
      </c>
      <c r="W6" s="17" t="s">
        <v>311</v>
      </c>
      <c r="X6" s="18">
        <f>COUNTIF($I$2:$I$205,"May")</f>
        <v>92</v>
      </c>
    </row>
    <row r="7" spans="1:29" ht="15" customHeight="1" x14ac:dyDescent="0.35">
      <c r="A7" s="5">
        <v>6</v>
      </c>
      <c r="B7" s="5" t="s">
        <v>121</v>
      </c>
      <c r="C7" s="6" t="s">
        <v>65</v>
      </c>
      <c r="D7" s="6" t="s">
        <v>10</v>
      </c>
      <c r="E7" s="6" t="s">
        <v>122</v>
      </c>
      <c r="F7" s="6">
        <v>1</v>
      </c>
      <c r="G7" s="7">
        <v>299</v>
      </c>
      <c r="H7" s="14">
        <f t="shared" si="0"/>
        <v>299</v>
      </c>
      <c r="I7" s="14" t="str">
        <f t="shared" si="1"/>
        <v>Mar</v>
      </c>
      <c r="W7" s="17" t="s">
        <v>312</v>
      </c>
      <c r="X7" s="18">
        <f>COUNTA($B$2:$B$205)</f>
        <v>204</v>
      </c>
    </row>
    <row r="8" spans="1:29" ht="15" customHeight="1" x14ac:dyDescent="0.35">
      <c r="A8" s="2">
        <v>7</v>
      </c>
      <c r="B8" s="2" t="s">
        <v>124</v>
      </c>
      <c r="C8" s="3" t="s">
        <v>59</v>
      </c>
      <c r="D8" s="3" t="s">
        <v>10</v>
      </c>
      <c r="E8" s="3" t="s">
        <v>125</v>
      </c>
      <c r="F8" s="3">
        <v>1</v>
      </c>
      <c r="G8" s="4">
        <v>249</v>
      </c>
      <c r="H8" s="4">
        <f t="shared" si="0"/>
        <v>249</v>
      </c>
      <c r="I8" s="4" t="str">
        <f t="shared" si="1"/>
        <v>Mar</v>
      </c>
      <c r="K8" s="11" t="s">
        <v>313</v>
      </c>
      <c r="L8" t="s">
        <v>6</v>
      </c>
      <c r="W8" s="17" t="s">
        <v>314</v>
      </c>
      <c r="X8" s="18">
        <f>AVERAGE($H$2:$H$205)</f>
        <v>265.68627450980392</v>
      </c>
    </row>
    <row r="9" spans="1:29" ht="15" customHeight="1" x14ac:dyDescent="0.35">
      <c r="A9" s="5">
        <v>8</v>
      </c>
      <c r="B9" s="5" t="s">
        <v>124</v>
      </c>
      <c r="C9" s="6" t="s">
        <v>69</v>
      </c>
      <c r="D9" s="6" t="s">
        <v>10</v>
      </c>
      <c r="E9" s="6" t="s">
        <v>125</v>
      </c>
      <c r="F9" s="6">
        <v>1</v>
      </c>
      <c r="G9" s="7">
        <v>125</v>
      </c>
      <c r="H9" s="14">
        <f t="shared" si="0"/>
        <v>125</v>
      </c>
      <c r="I9" s="14" t="str">
        <f t="shared" si="1"/>
        <v>Mar</v>
      </c>
      <c r="K9" s="12" t="s">
        <v>315</v>
      </c>
      <c r="L9" s="13">
        <v>11106</v>
      </c>
      <c r="W9" s="17" t="s">
        <v>316</v>
      </c>
      <c r="X9" s="18">
        <f>MAX($H$2:$H$205)</f>
        <v>1400</v>
      </c>
    </row>
    <row r="10" spans="1:29" ht="15" customHeight="1" x14ac:dyDescent="0.35">
      <c r="A10" s="2">
        <v>9</v>
      </c>
      <c r="B10" s="2" t="s">
        <v>126</v>
      </c>
      <c r="C10" s="3" t="s">
        <v>71</v>
      </c>
      <c r="D10" s="3" t="s">
        <v>11</v>
      </c>
      <c r="E10" s="3" t="s">
        <v>127</v>
      </c>
      <c r="F10" s="3">
        <v>1</v>
      </c>
      <c r="G10" s="4">
        <v>249</v>
      </c>
      <c r="H10" s="4">
        <f t="shared" si="0"/>
        <v>249</v>
      </c>
      <c r="I10" s="4" t="str">
        <f t="shared" si="1"/>
        <v>Mar</v>
      </c>
      <c r="K10" s="12" t="s">
        <v>317</v>
      </c>
      <c r="L10" s="13">
        <v>16812</v>
      </c>
      <c r="W10" s="17" t="s">
        <v>318</v>
      </c>
      <c r="X10" s="18">
        <f>MIN($H$2:$H$205)</f>
        <v>50</v>
      </c>
    </row>
    <row r="11" spans="1:29" ht="15" customHeight="1" x14ac:dyDescent="0.35">
      <c r="A11" s="5">
        <v>10</v>
      </c>
      <c r="B11" s="5" t="s">
        <v>128</v>
      </c>
      <c r="C11" s="6" t="s">
        <v>69</v>
      </c>
      <c r="D11" s="6" t="s">
        <v>10</v>
      </c>
      <c r="E11" s="6" t="s">
        <v>129</v>
      </c>
      <c r="F11" s="6">
        <v>1</v>
      </c>
      <c r="G11" s="7">
        <v>125</v>
      </c>
      <c r="H11" s="14">
        <f t="shared" si="0"/>
        <v>125</v>
      </c>
      <c r="I11" s="14" t="str">
        <f t="shared" si="1"/>
        <v>Mar</v>
      </c>
      <c r="K11" s="12" t="s">
        <v>319</v>
      </c>
      <c r="L11" s="13">
        <v>26282</v>
      </c>
    </row>
    <row r="12" spans="1:29" ht="15" customHeight="1" x14ac:dyDescent="0.35">
      <c r="A12" s="2">
        <v>11</v>
      </c>
      <c r="B12" s="2" t="s">
        <v>130</v>
      </c>
      <c r="C12" s="3" t="s">
        <v>23</v>
      </c>
      <c r="D12" s="3" t="s">
        <v>11</v>
      </c>
      <c r="E12" s="3" t="s">
        <v>131</v>
      </c>
      <c r="F12" s="3">
        <v>1</v>
      </c>
      <c r="G12" s="4">
        <v>449</v>
      </c>
      <c r="H12" s="4">
        <f t="shared" si="0"/>
        <v>449</v>
      </c>
      <c r="I12" s="4" t="str">
        <f t="shared" si="1"/>
        <v>Mar</v>
      </c>
      <c r="K12" s="12" t="s">
        <v>310</v>
      </c>
      <c r="L12" s="13">
        <v>54200</v>
      </c>
    </row>
    <row r="13" spans="1:29" ht="15" customHeight="1" x14ac:dyDescent="0.35">
      <c r="A13" s="5">
        <v>12</v>
      </c>
      <c r="B13" s="5" t="s">
        <v>130</v>
      </c>
      <c r="C13" s="6" t="s">
        <v>32</v>
      </c>
      <c r="D13" s="6" t="s">
        <v>11</v>
      </c>
      <c r="E13" s="6" t="s">
        <v>131</v>
      </c>
      <c r="F13" s="6">
        <v>1</v>
      </c>
      <c r="G13" s="7">
        <v>299</v>
      </c>
      <c r="H13" s="14">
        <f t="shared" si="0"/>
        <v>299</v>
      </c>
      <c r="I13" s="14" t="str">
        <f t="shared" si="1"/>
        <v>Mar</v>
      </c>
    </row>
    <row r="14" spans="1:29" ht="15" customHeight="1" x14ac:dyDescent="0.35">
      <c r="A14" s="2">
        <v>13</v>
      </c>
      <c r="B14" s="2" t="s">
        <v>130</v>
      </c>
      <c r="C14" s="3" t="s">
        <v>42</v>
      </c>
      <c r="D14" s="3" t="s">
        <v>10</v>
      </c>
      <c r="E14" s="3" t="s">
        <v>131</v>
      </c>
      <c r="F14" s="3">
        <v>1</v>
      </c>
      <c r="G14" s="4">
        <v>175</v>
      </c>
      <c r="H14" s="4">
        <f t="shared" si="0"/>
        <v>175</v>
      </c>
      <c r="I14" s="4" t="str">
        <f t="shared" si="1"/>
        <v>Mar</v>
      </c>
      <c r="K14" s="11" t="s">
        <v>2</v>
      </c>
      <c r="L14" t="s">
        <v>320</v>
      </c>
    </row>
    <row r="15" spans="1:29" ht="15" customHeight="1" x14ac:dyDescent="0.35">
      <c r="A15" s="5">
        <v>14</v>
      </c>
      <c r="B15" s="5" t="s">
        <v>132</v>
      </c>
      <c r="C15" s="6" t="s">
        <v>55</v>
      </c>
      <c r="D15" s="6" t="s">
        <v>10</v>
      </c>
      <c r="E15" s="6" t="s">
        <v>133</v>
      </c>
      <c r="F15" s="6">
        <v>1</v>
      </c>
      <c r="G15" s="7">
        <v>99</v>
      </c>
      <c r="H15" s="14">
        <f t="shared" si="0"/>
        <v>99</v>
      </c>
      <c r="I15" s="14" t="str">
        <f t="shared" si="1"/>
        <v>Mar</v>
      </c>
      <c r="K15" s="12" t="s">
        <v>11</v>
      </c>
      <c r="L15" s="13">
        <v>21850</v>
      </c>
      <c r="W15" s="27"/>
      <c r="X15" s="29"/>
      <c r="Y15" s="29"/>
      <c r="Z15" s="29"/>
      <c r="AA15" s="29"/>
      <c r="AB15" s="29"/>
      <c r="AC15" s="29"/>
    </row>
    <row r="16" spans="1:29" ht="15" customHeight="1" x14ac:dyDescent="0.35">
      <c r="A16" s="2">
        <v>15</v>
      </c>
      <c r="B16" s="2" t="s">
        <v>132</v>
      </c>
      <c r="C16" s="3" t="s">
        <v>56</v>
      </c>
      <c r="D16" s="3" t="s">
        <v>11</v>
      </c>
      <c r="E16" s="3" t="s">
        <v>133</v>
      </c>
      <c r="F16" s="3">
        <v>1</v>
      </c>
      <c r="G16" s="4">
        <v>249</v>
      </c>
      <c r="H16" s="4">
        <f t="shared" si="0"/>
        <v>249</v>
      </c>
      <c r="I16" s="4" t="str">
        <f t="shared" si="1"/>
        <v>Mar</v>
      </c>
      <c r="K16" s="12" t="s">
        <v>10</v>
      </c>
      <c r="L16" s="13">
        <v>20343</v>
      </c>
      <c r="W16" s="30" t="s">
        <v>2</v>
      </c>
      <c r="X16" s="47" t="s">
        <v>315</v>
      </c>
      <c r="Y16" s="47" t="s">
        <v>317</v>
      </c>
      <c r="Z16" s="47" t="s">
        <v>319</v>
      </c>
      <c r="AA16" s="47" t="s">
        <v>418</v>
      </c>
      <c r="AB16" s="47" t="s">
        <v>482</v>
      </c>
      <c r="AC16" s="47" t="s">
        <v>487</v>
      </c>
    </row>
    <row r="17" spans="1:30" ht="15" customHeight="1" x14ac:dyDescent="0.35">
      <c r="A17" s="5">
        <v>16</v>
      </c>
      <c r="B17" s="5" t="s">
        <v>132</v>
      </c>
      <c r="C17" s="6" t="s">
        <v>40</v>
      </c>
      <c r="D17" s="6" t="s">
        <v>10</v>
      </c>
      <c r="E17" s="6" t="s">
        <v>133</v>
      </c>
      <c r="F17" s="6">
        <v>1</v>
      </c>
      <c r="G17" s="7">
        <v>299</v>
      </c>
      <c r="H17" s="14">
        <f t="shared" si="0"/>
        <v>299</v>
      </c>
      <c r="I17" s="14" t="str">
        <f t="shared" si="1"/>
        <v>Mar</v>
      </c>
      <c r="K17" s="12" t="s">
        <v>19</v>
      </c>
      <c r="L17" s="13">
        <v>4214</v>
      </c>
      <c r="W17" s="30" t="s">
        <v>16</v>
      </c>
      <c r="X17" s="28">
        <f>SUMIFS($F:$F,$D:$D,$W17,$I:$I,"Mar")</f>
        <v>2</v>
      </c>
      <c r="Y17" s="28">
        <f>SUMIFS($F:$F,$D:$D,$W17,$I:$I,"Apr")</f>
        <v>17</v>
      </c>
      <c r="Z17" s="28">
        <f>SUMIFS($F:$F,$D:$D,$W17,$I:$I,"May")</f>
        <v>20</v>
      </c>
      <c r="AA17" s="28">
        <f>AVERAGE(X17:Z17)</f>
        <v>13</v>
      </c>
      <c r="AB17" s="28">
        <f>_xlfn.STDEV.S(X17:Z17)</f>
        <v>9.6436507609929549</v>
      </c>
      <c r="AC17" s="28">
        <f>AB17/AA17*100</f>
        <v>74.181928930715031</v>
      </c>
    </row>
    <row r="18" spans="1:30" ht="15" customHeight="1" x14ac:dyDescent="0.35">
      <c r="A18" s="2">
        <v>17</v>
      </c>
      <c r="B18" s="2" t="s">
        <v>134</v>
      </c>
      <c r="C18" s="3" t="s">
        <v>15</v>
      </c>
      <c r="D18" s="3" t="s">
        <v>11</v>
      </c>
      <c r="E18" s="3" t="s">
        <v>135</v>
      </c>
      <c r="F18" s="3">
        <v>1</v>
      </c>
      <c r="G18" s="4">
        <v>349</v>
      </c>
      <c r="H18" s="4">
        <f t="shared" si="0"/>
        <v>349</v>
      </c>
      <c r="I18" s="4" t="str">
        <f t="shared" si="1"/>
        <v>Mar</v>
      </c>
      <c r="K18" s="12" t="s">
        <v>16</v>
      </c>
      <c r="L18" s="13">
        <v>7793</v>
      </c>
      <c r="W18" s="30" t="s">
        <v>19</v>
      </c>
      <c r="X18" s="28">
        <f t="shared" ref="X18:X20" si="2">SUMIFS($F:$F,$D:$D,$W18,$I:$I,"Mar")</f>
        <v>3</v>
      </c>
      <c r="Y18" s="28">
        <f t="shared" ref="Y18:Y20" si="3">SUMIFS($F:$F,$D:$D,$W18,$I:$I,"Apr")</f>
        <v>7</v>
      </c>
      <c r="Z18" s="28">
        <f t="shared" ref="Z18:Z20" si="4">SUMIFS($F:$F,$D:$D,$W18,$I:$I,"May")</f>
        <v>10</v>
      </c>
      <c r="AA18" s="28">
        <f>AVERAGE(X18:Z18)</f>
        <v>6.666666666666667</v>
      </c>
      <c r="AB18" s="28">
        <f>_xlfn.STDEV.S(X18:Z18)</f>
        <v>3.5118845842842457</v>
      </c>
      <c r="AC18" s="28">
        <f>AB18/AA18*100</f>
        <v>52.678268764263677</v>
      </c>
    </row>
    <row r="19" spans="1:30" ht="15" customHeight="1" x14ac:dyDescent="0.35">
      <c r="A19" s="5">
        <v>18</v>
      </c>
      <c r="B19" s="5" t="s">
        <v>137</v>
      </c>
      <c r="C19" s="6" t="s">
        <v>62</v>
      </c>
      <c r="D19" s="6" t="s">
        <v>19</v>
      </c>
      <c r="E19" s="6" t="s">
        <v>138</v>
      </c>
      <c r="F19" s="6">
        <v>1</v>
      </c>
      <c r="G19" s="7">
        <v>175</v>
      </c>
      <c r="H19" s="14">
        <f t="shared" si="0"/>
        <v>175</v>
      </c>
      <c r="I19" s="14" t="str">
        <f t="shared" si="1"/>
        <v>Mar</v>
      </c>
      <c r="K19" s="12" t="s">
        <v>310</v>
      </c>
      <c r="L19" s="13">
        <v>54200</v>
      </c>
      <c r="W19" s="30" t="s">
        <v>11</v>
      </c>
      <c r="X19" s="28">
        <f t="shared" si="2"/>
        <v>15</v>
      </c>
      <c r="Y19" s="28">
        <f t="shared" si="3"/>
        <v>21</v>
      </c>
      <c r="Z19" s="28">
        <f t="shared" si="4"/>
        <v>32</v>
      </c>
      <c r="AA19" s="28">
        <f>AVERAGE(X19:Z19)</f>
        <v>22.666666666666668</v>
      </c>
      <c r="AB19" s="28">
        <f>_xlfn.STDEV.S(X19:Z19)</f>
        <v>8.6216781042517106</v>
      </c>
      <c r="AC19" s="28">
        <f>AB19/AA19*100</f>
        <v>38.036815165816371</v>
      </c>
    </row>
    <row r="20" spans="1:30" ht="15" customHeight="1" x14ac:dyDescent="0.35">
      <c r="A20" s="2">
        <v>19</v>
      </c>
      <c r="B20" s="2" t="s">
        <v>137</v>
      </c>
      <c r="C20" s="3" t="s">
        <v>69</v>
      </c>
      <c r="D20" s="3" t="s">
        <v>10</v>
      </c>
      <c r="E20" s="3" t="s">
        <v>138</v>
      </c>
      <c r="F20" s="3">
        <v>1</v>
      </c>
      <c r="G20" s="4">
        <v>125</v>
      </c>
      <c r="H20" s="4">
        <f t="shared" si="0"/>
        <v>125</v>
      </c>
      <c r="I20" s="4" t="str">
        <f t="shared" si="1"/>
        <v>Mar</v>
      </c>
      <c r="W20" s="30" t="s">
        <v>10</v>
      </c>
      <c r="X20" s="28">
        <f t="shared" si="2"/>
        <v>29</v>
      </c>
      <c r="Y20" s="28">
        <f t="shared" si="3"/>
        <v>26</v>
      </c>
      <c r="Z20" s="28">
        <f t="shared" si="4"/>
        <v>47</v>
      </c>
      <c r="AA20" s="28">
        <f>AVERAGE(X20:Z20)</f>
        <v>34</v>
      </c>
      <c r="AB20" s="28">
        <f>_xlfn.STDEV.S(X20:Z20)</f>
        <v>11.357816691600547</v>
      </c>
      <c r="AC20" s="28">
        <f>AB20/AA20*100</f>
        <v>33.405343210589841</v>
      </c>
    </row>
    <row r="21" spans="1:30" ht="15" customHeight="1" x14ac:dyDescent="0.35">
      <c r="A21" s="5">
        <v>20</v>
      </c>
      <c r="B21" s="5" t="s">
        <v>137</v>
      </c>
      <c r="C21" s="6" t="s">
        <v>60</v>
      </c>
      <c r="D21" s="6" t="s">
        <v>10</v>
      </c>
      <c r="E21" s="6" t="s">
        <v>138</v>
      </c>
      <c r="F21" s="6">
        <v>1</v>
      </c>
      <c r="G21" s="7">
        <v>120</v>
      </c>
      <c r="H21" s="14">
        <f t="shared" si="0"/>
        <v>120</v>
      </c>
      <c r="I21" s="14" t="str">
        <f t="shared" si="1"/>
        <v>Mar</v>
      </c>
    </row>
    <row r="22" spans="1:30" ht="15" customHeight="1" x14ac:dyDescent="0.35">
      <c r="A22" s="2">
        <v>21</v>
      </c>
      <c r="B22" s="2" t="s">
        <v>139</v>
      </c>
      <c r="C22" s="3" t="s">
        <v>25</v>
      </c>
      <c r="D22" s="3" t="s">
        <v>11</v>
      </c>
      <c r="E22" s="3" t="s">
        <v>140</v>
      </c>
      <c r="F22" s="3">
        <v>1</v>
      </c>
      <c r="G22" s="4">
        <v>249</v>
      </c>
      <c r="H22" s="4">
        <f t="shared" si="0"/>
        <v>249</v>
      </c>
      <c r="I22" s="4" t="str">
        <f t="shared" si="1"/>
        <v>Mar</v>
      </c>
      <c r="K22" s="11" t="s">
        <v>313</v>
      </c>
      <c r="L22" t="s">
        <v>321</v>
      </c>
    </row>
    <row r="23" spans="1:30" ht="15" customHeight="1" x14ac:dyDescent="0.35">
      <c r="A23" s="5">
        <v>22</v>
      </c>
      <c r="B23" s="5" t="s">
        <v>139</v>
      </c>
      <c r="C23" s="6" t="s">
        <v>9</v>
      </c>
      <c r="D23" s="6" t="s">
        <v>10</v>
      </c>
      <c r="E23" s="6" t="s">
        <v>140</v>
      </c>
      <c r="F23" s="6">
        <v>1</v>
      </c>
      <c r="G23" s="7">
        <v>175</v>
      </c>
      <c r="H23" s="14">
        <f t="shared" si="0"/>
        <v>175</v>
      </c>
      <c r="I23" s="14" t="str">
        <f t="shared" si="1"/>
        <v>Mar</v>
      </c>
      <c r="K23" s="12" t="s">
        <v>315</v>
      </c>
      <c r="L23">
        <v>49</v>
      </c>
      <c r="W23" s="30"/>
      <c r="AB23" s="27"/>
      <c r="AC23" s="27"/>
      <c r="AD23" s="27"/>
    </row>
    <row r="24" spans="1:30" ht="15" customHeight="1" x14ac:dyDescent="0.35">
      <c r="A24" s="2">
        <v>23</v>
      </c>
      <c r="B24" s="2" t="s">
        <v>141</v>
      </c>
      <c r="C24" s="3" t="s">
        <v>60</v>
      </c>
      <c r="D24" s="3" t="s">
        <v>10</v>
      </c>
      <c r="E24" s="3" t="s">
        <v>142</v>
      </c>
      <c r="F24" s="3">
        <v>1</v>
      </c>
      <c r="G24" s="4">
        <v>120</v>
      </c>
      <c r="H24" s="4">
        <f t="shared" si="0"/>
        <v>120</v>
      </c>
      <c r="I24" s="4" t="str">
        <f t="shared" si="1"/>
        <v>Mar</v>
      </c>
      <c r="K24" s="12" t="s">
        <v>317</v>
      </c>
      <c r="L24">
        <v>71</v>
      </c>
      <c r="W24" s="30"/>
      <c r="AB24" s="30"/>
      <c r="AC24" s="30"/>
      <c r="AD24" s="30"/>
    </row>
    <row r="25" spans="1:30" ht="15" customHeight="1" x14ac:dyDescent="0.35">
      <c r="A25" s="5">
        <v>24</v>
      </c>
      <c r="B25" s="5" t="s">
        <v>141</v>
      </c>
      <c r="C25" s="6" t="s">
        <v>51</v>
      </c>
      <c r="D25" s="6" t="s">
        <v>11</v>
      </c>
      <c r="E25" s="6" t="s">
        <v>142</v>
      </c>
      <c r="F25" s="6">
        <v>1</v>
      </c>
      <c r="G25" s="7">
        <v>399</v>
      </c>
      <c r="H25" s="14">
        <f t="shared" si="0"/>
        <v>399</v>
      </c>
      <c r="I25" s="14" t="str">
        <f t="shared" si="1"/>
        <v>Mar</v>
      </c>
      <c r="K25" s="12" t="s">
        <v>319</v>
      </c>
      <c r="L25">
        <v>109</v>
      </c>
      <c r="W25" s="30"/>
      <c r="AB25" s="30"/>
      <c r="AC25" s="30"/>
      <c r="AD25" s="30"/>
    </row>
    <row r="26" spans="1:30" ht="15" customHeight="1" x14ac:dyDescent="0.35">
      <c r="A26" s="2">
        <v>25</v>
      </c>
      <c r="B26" s="2" t="s">
        <v>143</v>
      </c>
      <c r="C26" s="3" t="s">
        <v>55</v>
      </c>
      <c r="D26" s="3" t="s">
        <v>10</v>
      </c>
      <c r="E26" s="3" t="s">
        <v>144</v>
      </c>
      <c r="F26" s="3">
        <v>2</v>
      </c>
      <c r="G26" s="4">
        <v>99</v>
      </c>
      <c r="H26" s="4">
        <f t="shared" si="0"/>
        <v>198</v>
      </c>
      <c r="I26" s="4" t="str">
        <f t="shared" si="1"/>
        <v>Mar</v>
      </c>
      <c r="K26" s="12" t="s">
        <v>310</v>
      </c>
      <c r="L26">
        <v>229</v>
      </c>
      <c r="W26" s="30"/>
      <c r="AB26" s="30"/>
      <c r="AC26" s="30"/>
      <c r="AD26" s="30"/>
    </row>
    <row r="27" spans="1:30" ht="15" customHeight="1" x14ac:dyDescent="0.35">
      <c r="A27" s="5">
        <v>26</v>
      </c>
      <c r="B27" s="5" t="s">
        <v>146</v>
      </c>
      <c r="C27" s="6" t="s">
        <v>42</v>
      </c>
      <c r="D27" s="6" t="s">
        <v>10</v>
      </c>
      <c r="E27" s="6" t="s">
        <v>147</v>
      </c>
      <c r="F27" s="6">
        <v>1</v>
      </c>
      <c r="G27" s="7">
        <v>175</v>
      </c>
      <c r="H27" s="14">
        <f t="shared" si="0"/>
        <v>175</v>
      </c>
      <c r="I27" s="14" t="str">
        <f t="shared" si="1"/>
        <v>Mar</v>
      </c>
      <c r="W27" s="30"/>
      <c r="AB27" s="30"/>
      <c r="AC27" s="30"/>
      <c r="AD27" s="30"/>
    </row>
    <row r="28" spans="1:30" ht="15" customHeight="1" x14ac:dyDescent="0.35">
      <c r="A28" s="2">
        <v>27</v>
      </c>
      <c r="B28" s="2" t="s">
        <v>146</v>
      </c>
      <c r="C28" s="3" t="s">
        <v>71</v>
      </c>
      <c r="D28" s="3" t="s">
        <v>11</v>
      </c>
      <c r="E28" s="3" t="s">
        <v>147</v>
      </c>
      <c r="F28" s="3">
        <v>1</v>
      </c>
      <c r="G28" s="4">
        <v>249</v>
      </c>
      <c r="H28" s="4">
        <f t="shared" si="0"/>
        <v>249</v>
      </c>
      <c r="I28" s="4" t="str">
        <f t="shared" si="1"/>
        <v>Mar</v>
      </c>
    </row>
    <row r="29" spans="1:30" ht="15" customHeight="1" x14ac:dyDescent="0.35">
      <c r="A29" s="5">
        <v>28</v>
      </c>
      <c r="B29" s="5" t="s">
        <v>146</v>
      </c>
      <c r="C29" s="6" t="s">
        <v>62</v>
      </c>
      <c r="D29" s="6" t="s">
        <v>19</v>
      </c>
      <c r="E29" s="6" t="s">
        <v>147</v>
      </c>
      <c r="F29" s="6">
        <v>1</v>
      </c>
      <c r="G29" s="7">
        <v>175</v>
      </c>
      <c r="H29" s="14">
        <f t="shared" si="0"/>
        <v>175</v>
      </c>
      <c r="I29" s="14" t="str">
        <f t="shared" si="1"/>
        <v>Mar</v>
      </c>
      <c r="K29" s="11" t="s">
        <v>313</v>
      </c>
      <c r="L29" t="s">
        <v>322</v>
      </c>
      <c r="W29" s="30"/>
    </row>
    <row r="30" spans="1:30" ht="15" customHeight="1" x14ac:dyDescent="0.35">
      <c r="A30" s="2">
        <v>29</v>
      </c>
      <c r="B30" s="2" t="s">
        <v>148</v>
      </c>
      <c r="C30" s="3" t="s">
        <v>40</v>
      </c>
      <c r="D30" s="3" t="s">
        <v>10</v>
      </c>
      <c r="E30" s="3" t="s">
        <v>149</v>
      </c>
      <c r="F30" s="3">
        <v>1</v>
      </c>
      <c r="G30" s="4">
        <v>299</v>
      </c>
      <c r="H30" s="4">
        <f t="shared" si="0"/>
        <v>299</v>
      </c>
      <c r="I30" s="4" t="str">
        <f t="shared" si="1"/>
        <v>Mar</v>
      </c>
      <c r="K30" s="12" t="s">
        <v>315</v>
      </c>
      <c r="L30">
        <v>23</v>
      </c>
      <c r="W30" s="30"/>
    </row>
    <row r="31" spans="1:30" ht="15" customHeight="1" x14ac:dyDescent="0.35">
      <c r="A31" s="5">
        <v>30</v>
      </c>
      <c r="B31" s="5" t="s">
        <v>148</v>
      </c>
      <c r="C31" s="6" t="s">
        <v>55</v>
      </c>
      <c r="D31" s="6" t="s">
        <v>10</v>
      </c>
      <c r="E31" s="6" t="s">
        <v>149</v>
      </c>
      <c r="F31" s="6">
        <v>1</v>
      </c>
      <c r="G31" s="7">
        <v>99</v>
      </c>
      <c r="H31" s="14">
        <f t="shared" si="0"/>
        <v>99</v>
      </c>
      <c r="I31" s="14" t="str">
        <f t="shared" si="1"/>
        <v>Mar</v>
      </c>
      <c r="K31" s="12" t="s">
        <v>317</v>
      </c>
      <c r="L31">
        <v>33</v>
      </c>
      <c r="W31" s="30"/>
    </row>
    <row r="32" spans="1:30" ht="15" customHeight="1" x14ac:dyDescent="0.35">
      <c r="A32" s="2">
        <v>31</v>
      </c>
      <c r="B32" s="2" t="s">
        <v>150</v>
      </c>
      <c r="C32" s="3" t="s">
        <v>23</v>
      </c>
      <c r="D32" s="3" t="s">
        <v>11</v>
      </c>
      <c r="E32" s="3" t="s">
        <v>151</v>
      </c>
      <c r="F32" s="3">
        <v>1</v>
      </c>
      <c r="G32" s="4">
        <v>449</v>
      </c>
      <c r="H32" s="4">
        <f t="shared" si="0"/>
        <v>449</v>
      </c>
      <c r="I32" s="4" t="str">
        <f t="shared" si="1"/>
        <v>Mar</v>
      </c>
      <c r="K32" s="12" t="s">
        <v>319</v>
      </c>
      <c r="L32">
        <v>44</v>
      </c>
      <c r="W32" s="30"/>
    </row>
    <row r="33" spans="1:23" ht="15" customHeight="1" x14ac:dyDescent="0.35">
      <c r="A33" s="5">
        <v>32</v>
      </c>
      <c r="B33" s="5" t="s">
        <v>152</v>
      </c>
      <c r="C33" s="6" t="s">
        <v>27</v>
      </c>
      <c r="D33" s="6" t="s">
        <v>10</v>
      </c>
      <c r="E33" s="6" t="s">
        <v>153</v>
      </c>
      <c r="F33" s="6">
        <v>2</v>
      </c>
      <c r="G33" s="7">
        <v>175</v>
      </c>
      <c r="H33" s="14">
        <f t="shared" si="0"/>
        <v>350</v>
      </c>
      <c r="I33" s="14" t="str">
        <f t="shared" si="1"/>
        <v>Mar</v>
      </c>
      <c r="K33" s="12" t="s">
        <v>310</v>
      </c>
      <c r="L33">
        <v>100</v>
      </c>
      <c r="W33" s="30"/>
    </row>
    <row r="34" spans="1:23" ht="15" customHeight="1" x14ac:dyDescent="0.35">
      <c r="A34" s="2">
        <v>33</v>
      </c>
      <c r="B34" s="2" t="s">
        <v>152</v>
      </c>
      <c r="C34" s="3" t="s">
        <v>29</v>
      </c>
      <c r="D34" s="3" t="s">
        <v>11</v>
      </c>
      <c r="E34" s="3" t="s">
        <v>153</v>
      </c>
      <c r="F34" s="3">
        <v>1</v>
      </c>
      <c r="G34" s="4">
        <v>399</v>
      </c>
      <c r="H34" s="4">
        <f t="shared" si="0"/>
        <v>399</v>
      </c>
      <c r="I34" s="4" t="str">
        <f t="shared" si="1"/>
        <v>Mar</v>
      </c>
    </row>
    <row r="35" spans="1:23" ht="15" customHeight="1" x14ac:dyDescent="0.35">
      <c r="A35" s="5">
        <v>34</v>
      </c>
      <c r="B35" s="5" t="s">
        <v>152</v>
      </c>
      <c r="C35" s="6" t="s">
        <v>9</v>
      </c>
      <c r="D35" s="6" t="s">
        <v>10</v>
      </c>
      <c r="E35" s="6" t="s">
        <v>153</v>
      </c>
      <c r="F35" s="6">
        <v>1</v>
      </c>
      <c r="G35" s="7">
        <v>175</v>
      </c>
      <c r="H35" s="14">
        <f t="shared" si="0"/>
        <v>175</v>
      </c>
      <c r="I35" s="14" t="str">
        <f t="shared" si="1"/>
        <v>Mar</v>
      </c>
      <c r="W35" s="30"/>
    </row>
    <row r="36" spans="1:23" ht="15" customHeight="1" x14ac:dyDescent="0.35">
      <c r="A36" s="2">
        <v>35</v>
      </c>
      <c r="B36" s="2" t="s">
        <v>154</v>
      </c>
      <c r="C36" s="3" t="s">
        <v>15</v>
      </c>
      <c r="D36" s="3" t="s">
        <v>11</v>
      </c>
      <c r="E36" s="3" t="s">
        <v>155</v>
      </c>
      <c r="F36" s="3">
        <v>1</v>
      </c>
      <c r="G36" s="4">
        <v>349</v>
      </c>
      <c r="H36" s="4">
        <f t="shared" si="0"/>
        <v>349</v>
      </c>
      <c r="I36" s="4" t="str">
        <f t="shared" si="1"/>
        <v>Mar</v>
      </c>
      <c r="W36" s="30"/>
    </row>
    <row r="37" spans="1:23" ht="15" customHeight="1" x14ac:dyDescent="0.35">
      <c r="A37" s="5">
        <v>36</v>
      </c>
      <c r="B37" s="5" t="s">
        <v>154</v>
      </c>
      <c r="C37" s="6" t="s">
        <v>60</v>
      </c>
      <c r="D37" s="6" t="s">
        <v>10</v>
      </c>
      <c r="E37" s="6" t="s">
        <v>155</v>
      </c>
      <c r="F37" s="6">
        <v>1</v>
      </c>
      <c r="G37" s="7">
        <v>120</v>
      </c>
      <c r="H37" s="14">
        <f t="shared" si="0"/>
        <v>120</v>
      </c>
      <c r="I37" s="14" t="str">
        <f t="shared" si="1"/>
        <v>Mar</v>
      </c>
      <c r="W37" s="30"/>
    </row>
    <row r="38" spans="1:23" ht="15" customHeight="1" x14ac:dyDescent="0.35">
      <c r="A38" s="2">
        <v>37</v>
      </c>
      <c r="B38" s="2" t="s">
        <v>156</v>
      </c>
      <c r="C38" s="3" t="s">
        <v>62</v>
      </c>
      <c r="D38" s="3" t="s">
        <v>19</v>
      </c>
      <c r="E38" s="3" t="s">
        <v>157</v>
      </c>
      <c r="F38" s="3">
        <v>1</v>
      </c>
      <c r="G38" s="4">
        <v>175</v>
      </c>
      <c r="H38" s="4">
        <f t="shared" si="0"/>
        <v>175</v>
      </c>
      <c r="I38" s="4" t="str">
        <f t="shared" si="1"/>
        <v>Mar</v>
      </c>
      <c r="W38" s="30"/>
    </row>
    <row r="39" spans="1:23" ht="15" customHeight="1" x14ac:dyDescent="0.35">
      <c r="A39" s="5">
        <v>38</v>
      </c>
      <c r="B39" s="5" t="s">
        <v>158</v>
      </c>
      <c r="C39" s="6" t="s">
        <v>32</v>
      </c>
      <c r="D39" s="6" t="s">
        <v>11</v>
      </c>
      <c r="E39" s="6" t="s">
        <v>159</v>
      </c>
      <c r="F39" s="6">
        <v>1</v>
      </c>
      <c r="G39" s="7">
        <v>299</v>
      </c>
      <c r="H39" s="14">
        <f t="shared" si="0"/>
        <v>299</v>
      </c>
      <c r="I39" s="14" t="str">
        <f t="shared" si="1"/>
        <v>Mar</v>
      </c>
      <c r="W39" s="30"/>
    </row>
    <row r="40" spans="1:23" ht="15" customHeight="1" x14ac:dyDescent="0.35">
      <c r="A40" s="2">
        <v>39</v>
      </c>
      <c r="B40" s="2" t="s">
        <v>158</v>
      </c>
      <c r="C40" s="3" t="s">
        <v>65</v>
      </c>
      <c r="D40" s="3" t="s">
        <v>10</v>
      </c>
      <c r="E40" s="3" t="s">
        <v>159</v>
      </c>
      <c r="F40" s="3">
        <v>1</v>
      </c>
      <c r="G40" s="4">
        <v>299</v>
      </c>
      <c r="H40" s="4">
        <f t="shared" si="0"/>
        <v>299</v>
      </c>
      <c r="I40" s="4" t="str">
        <f t="shared" si="1"/>
        <v>Mar</v>
      </c>
    </row>
    <row r="41" spans="1:23" ht="15" customHeight="1" x14ac:dyDescent="0.35">
      <c r="A41" s="5">
        <v>40</v>
      </c>
      <c r="B41" s="5" t="s">
        <v>158</v>
      </c>
      <c r="C41" s="6" t="s">
        <v>55</v>
      </c>
      <c r="D41" s="6" t="s">
        <v>10</v>
      </c>
      <c r="E41" s="6" t="s">
        <v>159</v>
      </c>
      <c r="F41" s="6">
        <v>1</v>
      </c>
      <c r="G41" s="7">
        <v>99</v>
      </c>
      <c r="H41" s="14">
        <f t="shared" si="0"/>
        <v>99</v>
      </c>
      <c r="I41" s="14" t="str">
        <f t="shared" si="1"/>
        <v>Mar</v>
      </c>
    </row>
    <row r="42" spans="1:23" ht="15" customHeight="1" x14ac:dyDescent="0.35">
      <c r="A42" s="2">
        <v>41</v>
      </c>
      <c r="B42" s="2" t="s">
        <v>160</v>
      </c>
      <c r="C42" s="3" t="s">
        <v>59</v>
      </c>
      <c r="D42" s="3" t="s">
        <v>10</v>
      </c>
      <c r="E42" s="3" t="s">
        <v>161</v>
      </c>
      <c r="F42" s="3">
        <v>1</v>
      </c>
      <c r="G42" s="4">
        <v>249</v>
      </c>
      <c r="H42" s="4">
        <f t="shared" si="0"/>
        <v>249</v>
      </c>
      <c r="I42" s="4" t="str">
        <f t="shared" si="1"/>
        <v>Mar</v>
      </c>
    </row>
    <row r="43" spans="1:23" ht="15" customHeight="1" x14ac:dyDescent="0.35">
      <c r="A43" s="5">
        <v>42</v>
      </c>
      <c r="B43" s="5" t="s">
        <v>160</v>
      </c>
      <c r="C43" s="6" t="s">
        <v>56</v>
      </c>
      <c r="D43" s="6" t="s">
        <v>11</v>
      </c>
      <c r="E43" s="6" t="s">
        <v>161</v>
      </c>
      <c r="F43" s="6">
        <v>1</v>
      </c>
      <c r="G43" s="7">
        <v>249</v>
      </c>
      <c r="H43" s="14">
        <f t="shared" si="0"/>
        <v>249</v>
      </c>
      <c r="I43" s="14" t="str">
        <f t="shared" si="1"/>
        <v>Mar</v>
      </c>
    </row>
    <row r="44" spans="1:23" ht="15" customHeight="1" x14ac:dyDescent="0.35">
      <c r="A44" s="2">
        <v>43</v>
      </c>
      <c r="B44" s="2" t="s">
        <v>162</v>
      </c>
      <c r="C44" s="3" t="s">
        <v>21</v>
      </c>
      <c r="D44" s="3" t="s">
        <v>16</v>
      </c>
      <c r="E44" s="3" t="s">
        <v>163</v>
      </c>
      <c r="F44" s="3">
        <v>1</v>
      </c>
      <c r="G44" s="4">
        <v>199</v>
      </c>
      <c r="H44" s="4">
        <f t="shared" si="0"/>
        <v>199</v>
      </c>
      <c r="I44" s="4" t="str">
        <f t="shared" si="1"/>
        <v>Mar</v>
      </c>
    </row>
    <row r="45" spans="1:23" ht="15" customHeight="1" x14ac:dyDescent="0.35">
      <c r="A45" s="5">
        <v>44</v>
      </c>
      <c r="B45" s="5" t="s">
        <v>162</v>
      </c>
      <c r="C45" s="6" t="s">
        <v>42</v>
      </c>
      <c r="D45" s="6" t="s">
        <v>10</v>
      </c>
      <c r="E45" s="6" t="s">
        <v>163</v>
      </c>
      <c r="F45" s="6">
        <v>1</v>
      </c>
      <c r="G45" s="7">
        <v>175</v>
      </c>
      <c r="H45" s="14">
        <f t="shared" si="0"/>
        <v>175</v>
      </c>
      <c r="I45" s="14" t="str">
        <f t="shared" si="1"/>
        <v>Mar</v>
      </c>
      <c r="K45" s="38"/>
      <c r="L45" s="39"/>
      <c r="M45" s="40"/>
    </row>
    <row r="46" spans="1:23" ht="15" customHeight="1" x14ac:dyDescent="0.35">
      <c r="A46" s="2">
        <v>45</v>
      </c>
      <c r="B46" s="2" t="s">
        <v>164</v>
      </c>
      <c r="C46" s="3" t="s">
        <v>37</v>
      </c>
      <c r="D46" s="3" t="s">
        <v>16</v>
      </c>
      <c r="E46" s="3" t="s">
        <v>165</v>
      </c>
      <c r="F46" s="3">
        <v>1</v>
      </c>
      <c r="G46" s="4">
        <v>249</v>
      </c>
      <c r="H46" s="4">
        <f t="shared" si="0"/>
        <v>249</v>
      </c>
      <c r="I46" s="4" t="str">
        <f t="shared" si="1"/>
        <v>Mar</v>
      </c>
      <c r="K46" s="41"/>
      <c r="L46" s="42"/>
      <c r="M46" s="43"/>
      <c r="O46" s="27" t="s">
        <v>2</v>
      </c>
      <c r="P46" s="27" t="s">
        <v>488</v>
      </c>
      <c r="Q46" s="48" t="s">
        <v>303</v>
      </c>
    </row>
    <row r="47" spans="1:23" ht="15" customHeight="1" x14ac:dyDescent="0.35">
      <c r="A47" s="5">
        <v>46</v>
      </c>
      <c r="B47" s="5" t="s">
        <v>166</v>
      </c>
      <c r="C47" s="6" t="s">
        <v>32</v>
      </c>
      <c r="D47" s="6" t="s">
        <v>11</v>
      </c>
      <c r="E47" s="6" t="s">
        <v>167</v>
      </c>
      <c r="F47" s="6">
        <v>1</v>
      </c>
      <c r="G47" s="7">
        <v>299</v>
      </c>
      <c r="H47" s="14">
        <f t="shared" si="0"/>
        <v>299</v>
      </c>
      <c r="I47" s="14" t="str">
        <f t="shared" si="1"/>
        <v>Apr</v>
      </c>
      <c r="K47" s="41"/>
      <c r="L47" s="42"/>
      <c r="M47" s="43"/>
      <c r="O47" s="30" t="s">
        <v>10</v>
      </c>
      <c r="P47" s="30">
        <v>7.8460000000000001</v>
      </c>
      <c r="Q47" s="30">
        <v>102</v>
      </c>
    </row>
    <row r="48" spans="1:23" ht="15" customHeight="1" x14ac:dyDescent="0.35">
      <c r="A48" s="2">
        <v>47</v>
      </c>
      <c r="B48" s="2" t="s">
        <v>166</v>
      </c>
      <c r="C48" s="3" t="s">
        <v>60</v>
      </c>
      <c r="D48" s="3" t="s">
        <v>10</v>
      </c>
      <c r="E48" s="3" t="s">
        <v>167</v>
      </c>
      <c r="F48" s="3">
        <v>1</v>
      </c>
      <c r="G48" s="4">
        <v>120</v>
      </c>
      <c r="H48" s="4">
        <f t="shared" si="0"/>
        <v>120</v>
      </c>
      <c r="I48" s="4" t="str">
        <f t="shared" si="1"/>
        <v>Apr</v>
      </c>
      <c r="K48" s="41"/>
      <c r="L48" s="42"/>
      <c r="M48" s="43"/>
      <c r="O48" s="30" t="s">
        <v>11</v>
      </c>
      <c r="P48" s="30">
        <v>5.2309999999999999</v>
      </c>
      <c r="Q48" s="30">
        <v>68</v>
      </c>
    </row>
    <row r="49" spans="1:20" ht="15" customHeight="1" x14ac:dyDescent="0.35">
      <c r="A49" s="5">
        <v>48</v>
      </c>
      <c r="B49" s="5" t="s">
        <v>166</v>
      </c>
      <c r="C49" s="6" t="s">
        <v>34</v>
      </c>
      <c r="D49" s="6" t="s">
        <v>16</v>
      </c>
      <c r="E49" s="6" t="s">
        <v>167</v>
      </c>
      <c r="F49" s="6">
        <v>1</v>
      </c>
      <c r="G49" s="7">
        <v>225</v>
      </c>
      <c r="H49" s="14">
        <f t="shared" si="0"/>
        <v>225</v>
      </c>
      <c r="I49" s="14" t="str">
        <f t="shared" si="1"/>
        <v>Apr</v>
      </c>
      <c r="K49" s="41"/>
      <c r="L49" s="42"/>
      <c r="M49" s="43"/>
      <c r="O49" s="30" t="s">
        <v>16</v>
      </c>
      <c r="P49" s="30">
        <v>3</v>
      </c>
      <c r="Q49" s="30">
        <v>39</v>
      </c>
    </row>
    <row r="50" spans="1:20" ht="15" customHeight="1" x14ac:dyDescent="0.35">
      <c r="A50" s="2">
        <v>49</v>
      </c>
      <c r="B50" s="2" t="s">
        <v>168</v>
      </c>
      <c r="C50" s="3" t="s">
        <v>27</v>
      </c>
      <c r="D50" s="3" t="s">
        <v>10</v>
      </c>
      <c r="E50" s="3" t="s">
        <v>169</v>
      </c>
      <c r="F50" s="3">
        <v>2</v>
      </c>
      <c r="G50" s="4">
        <v>175</v>
      </c>
      <c r="H50" s="4">
        <f t="shared" si="0"/>
        <v>350</v>
      </c>
      <c r="I50" s="4" t="str">
        <f t="shared" si="1"/>
        <v>Apr</v>
      </c>
      <c r="K50" s="41"/>
      <c r="L50" s="42"/>
      <c r="M50" s="43"/>
      <c r="O50" s="30" t="s">
        <v>19</v>
      </c>
      <c r="P50" s="30">
        <v>1.538</v>
      </c>
      <c r="Q50" s="30">
        <v>20</v>
      </c>
    </row>
    <row r="51" spans="1:20" ht="15" customHeight="1" x14ac:dyDescent="0.35">
      <c r="A51" s="5">
        <v>50</v>
      </c>
      <c r="B51" s="5" t="s">
        <v>168</v>
      </c>
      <c r="C51" s="6" t="s">
        <v>21</v>
      </c>
      <c r="D51" s="6" t="s">
        <v>16</v>
      </c>
      <c r="E51" s="6" t="s">
        <v>169</v>
      </c>
      <c r="F51" s="6">
        <v>1</v>
      </c>
      <c r="G51" s="7">
        <v>199</v>
      </c>
      <c r="H51" s="14">
        <f t="shared" si="0"/>
        <v>199</v>
      </c>
      <c r="I51" s="14" t="str">
        <f t="shared" si="1"/>
        <v>Apr</v>
      </c>
      <c r="K51" s="41"/>
      <c r="L51" s="42"/>
      <c r="M51" s="43"/>
    </row>
    <row r="52" spans="1:20" ht="15" customHeight="1" x14ac:dyDescent="0.35">
      <c r="A52" s="2">
        <v>51</v>
      </c>
      <c r="B52" s="2" t="s">
        <v>170</v>
      </c>
      <c r="C52" s="3" t="s">
        <v>45</v>
      </c>
      <c r="D52" s="3" t="s">
        <v>16</v>
      </c>
      <c r="E52" s="3" t="s">
        <v>171</v>
      </c>
      <c r="F52" s="3">
        <v>1</v>
      </c>
      <c r="G52" s="4">
        <v>279</v>
      </c>
      <c r="H52" s="4">
        <f t="shared" si="0"/>
        <v>279</v>
      </c>
      <c r="I52" s="4" t="str">
        <f t="shared" si="1"/>
        <v>Apr</v>
      </c>
      <c r="K52" s="41"/>
      <c r="L52" s="42"/>
      <c r="M52" s="43"/>
      <c r="O52" s="27"/>
    </row>
    <row r="53" spans="1:20" ht="15" customHeight="1" x14ac:dyDescent="0.35">
      <c r="A53" s="5">
        <v>52</v>
      </c>
      <c r="B53" s="5" t="s">
        <v>172</v>
      </c>
      <c r="C53" s="6" t="s">
        <v>29</v>
      </c>
      <c r="D53" s="6" t="s">
        <v>11</v>
      </c>
      <c r="E53" s="6" t="s">
        <v>173</v>
      </c>
      <c r="F53" s="6">
        <v>1</v>
      </c>
      <c r="G53" s="7">
        <v>399</v>
      </c>
      <c r="H53" s="14">
        <f t="shared" si="0"/>
        <v>399</v>
      </c>
      <c r="I53" s="14" t="str">
        <f t="shared" si="1"/>
        <v>Apr</v>
      </c>
      <c r="K53" s="41"/>
      <c r="L53" s="42"/>
      <c r="M53" s="43"/>
      <c r="O53" s="30"/>
    </row>
    <row r="54" spans="1:20" ht="15" customHeight="1" x14ac:dyDescent="0.35">
      <c r="A54" s="2">
        <v>53</v>
      </c>
      <c r="B54" s="2" t="s">
        <v>172</v>
      </c>
      <c r="C54" s="3" t="s">
        <v>55</v>
      </c>
      <c r="D54" s="3" t="s">
        <v>10</v>
      </c>
      <c r="E54" s="3" t="s">
        <v>173</v>
      </c>
      <c r="F54" s="3">
        <v>1</v>
      </c>
      <c r="G54" s="4">
        <v>99</v>
      </c>
      <c r="H54" s="4">
        <f t="shared" si="0"/>
        <v>99</v>
      </c>
      <c r="I54" s="4" t="str">
        <f t="shared" si="1"/>
        <v>Apr</v>
      </c>
      <c r="K54" s="41"/>
      <c r="L54" s="42"/>
      <c r="M54" s="43"/>
      <c r="O54" s="30"/>
    </row>
    <row r="55" spans="1:20" ht="15" customHeight="1" x14ac:dyDescent="0.35">
      <c r="A55" s="5">
        <v>54</v>
      </c>
      <c r="B55" s="5" t="s">
        <v>172</v>
      </c>
      <c r="C55" s="6" t="s">
        <v>34</v>
      </c>
      <c r="D55" s="6" t="s">
        <v>16</v>
      </c>
      <c r="E55" s="6" t="s">
        <v>173</v>
      </c>
      <c r="F55" s="6">
        <v>1</v>
      </c>
      <c r="G55" s="7">
        <v>225</v>
      </c>
      <c r="H55" s="14">
        <f t="shared" si="0"/>
        <v>225</v>
      </c>
      <c r="I55" s="14" t="str">
        <f t="shared" si="1"/>
        <v>Apr</v>
      </c>
      <c r="K55" s="41"/>
      <c r="L55" s="42"/>
      <c r="M55" s="43"/>
      <c r="O55" s="30"/>
    </row>
    <row r="56" spans="1:20" ht="15" customHeight="1" x14ac:dyDescent="0.35">
      <c r="A56" s="2">
        <v>55</v>
      </c>
      <c r="B56" s="2" t="s">
        <v>174</v>
      </c>
      <c r="C56" s="3" t="s">
        <v>40</v>
      </c>
      <c r="D56" s="3" t="s">
        <v>10</v>
      </c>
      <c r="E56" s="3" t="s">
        <v>175</v>
      </c>
      <c r="F56" s="3">
        <v>1</v>
      </c>
      <c r="G56" s="4">
        <v>299</v>
      </c>
      <c r="H56" s="4">
        <f t="shared" si="0"/>
        <v>299</v>
      </c>
      <c r="I56" s="4" t="str">
        <f t="shared" si="1"/>
        <v>Apr</v>
      </c>
      <c r="K56" s="41"/>
      <c r="L56" s="42"/>
      <c r="M56" s="43"/>
      <c r="O56" s="30"/>
    </row>
    <row r="57" spans="1:20" ht="15" customHeight="1" x14ac:dyDescent="0.35">
      <c r="A57" s="5">
        <v>56</v>
      </c>
      <c r="B57" s="5" t="s">
        <v>174</v>
      </c>
      <c r="C57" s="6" t="s">
        <v>37</v>
      </c>
      <c r="D57" s="6" t="s">
        <v>16</v>
      </c>
      <c r="E57" s="6" t="s">
        <v>175</v>
      </c>
      <c r="F57" s="6">
        <v>1</v>
      </c>
      <c r="G57" s="7">
        <v>249</v>
      </c>
      <c r="H57" s="14">
        <f t="shared" si="0"/>
        <v>249</v>
      </c>
      <c r="I57" s="14" t="str">
        <f t="shared" si="1"/>
        <v>Apr</v>
      </c>
      <c r="K57" s="41"/>
      <c r="L57" s="42"/>
      <c r="M57" s="43"/>
    </row>
    <row r="58" spans="1:20" ht="15" customHeight="1" x14ac:dyDescent="0.35">
      <c r="A58" s="2">
        <v>57</v>
      </c>
      <c r="B58" s="2" t="s">
        <v>176</v>
      </c>
      <c r="C58" s="3" t="s">
        <v>21</v>
      </c>
      <c r="D58" s="3" t="s">
        <v>16</v>
      </c>
      <c r="E58" s="3" t="s">
        <v>177</v>
      </c>
      <c r="F58" s="3">
        <v>2</v>
      </c>
      <c r="G58" s="4">
        <v>199</v>
      </c>
      <c r="H58" s="4">
        <f t="shared" si="0"/>
        <v>398</v>
      </c>
      <c r="I58" s="4" t="str">
        <f t="shared" si="1"/>
        <v>Apr</v>
      </c>
      <c r="K58" s="41"/>
      <c r="L58" s="42"/>
      <c r="M58" s="43"/>
    </row>
    <row r="59" spans="1:20" ht="15" customHeight="1" x14ac:dyDescent="0.35">
      <c r="A59" s="5">
        <v>58</v>
      </c>
      <c r="B59" s="5" t="s">
        <v>178</v>
      </c>
      <c r="C59" s="6" t="s">
        <v>23</v>
      </c>
      <c r="D59" s="6" t="s">
        <v>11</v>
      </c>
      <c r="E59" s="6" t="s">
        <v>179</v>
      </c>
      <c r="F59" s="6">
        <v>1</v>
      </c>
      <c r="G59" s="7">
        <v>449</v>
      </c>
      <c r="H59" s="14">
        <f t="shared" si="0"/>
        <v>449</v>
      </c>
      <c r="I59" s="14" t="str">
        <f t="shared" si="1"/>
        <v>Apr</v>
      </c>
      <c r="K59" s="41"/>
      <c r="L59" s="42"/>
      <c r="M59" s="43"/>
    </row>
    <row r="60" spans="1:20" ht="15" customHeight="1" x14ac:dyDescent="0.35">
      <c r="A60" s="2">
        <v>59</v>
      </c>
      <c r="B60" s="2" t="s">
        <v>178</v>
      </c>
      <c r="C60" s="3" t="s">
        <v>9</v>
      </c>
      <c r="D60" s="3" t="s">
        <v>10</v>
      </c>
      <c r="E60" s="3" t="s">
        <v>179</v>
      </c>
      <c r="F60" s="3">
        <v>1</v>
      </c>
      <c r="G60" s="4">
        <v>175</v>
      </c>
      <c r="H60" s="4">
        <f t="shared" si="0"/>
        <v>175</v>
      </c>
      <c r="I60" s="4" t="str">
        <f t="shared" si="1"/>
        <v>Apr</v>
      </c>
      <c r="K60" s="41"/>
      <c r="L60" s="42"/>
      <c r="M60" s="43"/>
      <c r="O60" s="27" t="s">
        <v>2</v>
      </c>
      <c r="P60" s="27" t="s">
        <v>315</v>
      </c>
      <c r="Q60" s="27" t="s">
        <v>317</v>
      </c>
      <c r="R60" s="27" t="s">
        <v>319</v>
      </c>
      <c r="S60" s="27" t="s">
        <v>489</v>
      </c>
      <c r="T60" s="27" t="s">
        <v>490</v>
      </c>
    </row>
    <row r="61" spans="1:20" ht="15" customHeight="1" x14ac:dyDescent="0.35">
      <c r="A61" s="5">
        <v>60</v>
      </c>
      <c r="B61" s="5" t="s">
        <v>178</v>
      </c>
      <c r="C61" s="6" t="s">
        <v>45</v>
      </c>
      <c r="D61" s="6" t="s">
        <v>16</v>
      </c>
      <c r="E61" s="6" t="s">
        <v>179</v>
      </c>
      <c r="F61" s="6">
        <v>1</v>
      </c>
      <c r="G61" s="7">
        <v>279</v>
      </c>
      <c r="H61" s="14">
        <f t="shared" si="0"/>
        <v>279</v>
      </c>
      <c r="I61" s="14" t="str">
        <f t="shared" si="1"/>
        <v>Apr</v>
      </c>
      <c r="K61" s="41"/>
      <c r="L61" s="42"/>
      <c r="M61" s="43"/>
      <c r="O61" s="30" t="s">
        <v>11</v>
      </c>
      <c r="P61" s="30">
        <v>5035</v>
      </c>
      <c r="Q61" s="30">
        <v>6631</v>
      </c>
      <c r="R61" s="30">
        <v>10184</v>
      </c>
      <c r="S61" s="30">
        <v>31.7</v>
      </c>
      <c r="T61" s="30">
        <v>53.58</v>
      </c>
    </row>
    <row r="62" spans="1:20" ht="15" customHeight="1" x14ac:dyDescent="0.35">
      <c r="A62" s="2">
        <v>61</v>
      </c>
      <c r="B62" s="2" t="s">
        <v>180</v>
      </c>
      <c r="C62" s="3" t="s">
        <v>62</v>
      </c>
      <c r="D62" s="3" t="s">
        <v>19</v>
      </c>
      <c r="E62" s="3" t="s">
        <v>181</v>
      </c>
      <c r="F62" s="3">
        <v>1</v>
      </c>
      <c r="G62" s="4">
        <v>175</v>
      </c>
      <c r="H62" s="4">
        <f t="shared" si="0"/>
        <v>175</v>
      </c>
      <c r="I62" s="4" t="str">
        <f t="shared" si="1"/>
        <v>Apr</v>
      </c>
      <c r="K62" s="44"/>
      <c r="L62" s="45"/>
      <c r="M62" s="46"/>
      <c r="O62" s="30" t="s">
        <v>10</v>
      </c>
      <c r="P62" s="30">
        <v>5098</v>
      </c>
      <c r="Q62" s="30">
        <v>5305</v>
      </c>
      <c r="R62" s="30">
        <v>9940</v>
      </c>
      <c r="S62" s="30">
        <v>4.0599999999999996</v>
      </c>
      <c r="T62" s="30">
        <v>87.37</v>
      </c>
    </row>
    <row r="63" spans="1:20" ht="15" customHeight="1" x14ac:dyDescent="0.35">
      <c r="A63" s="5">
        <v>62</v>
      </c>
      <c r="B63" s="5" t="s">
        <v>180</v>
      </c>
      <c r="C63" s="6" t="s">
        <v>34</v>
      </c>
      <c r="D63" s="6" t="s">
        <v>16</v>
      </c>
      <c r="E63" s="6" t="s">
        <v>181</v>
      </c>
      <c r="F63" s="6">
        <v>1</v>
      </c>
      <c r="G63" s="7">
        <v>225</v>
      </c>
      <c r="H63" s="14">
        <f t="shared" si="0"/>
        <v>225</v>
      </c>
      <c r="I63" s="14" t="str">
        <f t="shared" si="1"/>
        <v>Apr</v>
      </c>
      <c r="O63" s="30" t="s">
        <v>19</v>
      </c>
      <c r="P63" s="30">
        <v>525</v>
      </c>
      <c r="Q63" s="30">
        <v>1496</v>
      </c>
      <c r="R63" s="30">
        <v>2193</v>
      </c>
      <c r="S63" s="30">
        <v>184.95</v>
      </c>
      <c r="T63" s="30">
        <v>46.59</v>
      </c>
    </row>
    <row r="64" spans="1:20" ht="15" customHeight="1" x14ac:dyDescent="0.35">
      <c r="A64" s="2">
        <v>63</v>
      </c>
      <c r="B64" s="2" t="s">
        <v>182</v>
      </c>
      <c r="C64" s="3" t="s">
        <v>57</v>
      </c>
      <c r="D64" s="3" t="s">
        <v>11</v>
      </c>
      <c r="E64" s="3" t="s">
        <v>183</v>
      </c>
      <c r="F64" s="3">
        <v>1</v>
      </c>
      <c r="G64" s="4">
        <v>249</v>
      </c>
      <c r="H64" s="4">
        <f t="shared" si="0"/>
        <v>249</v>
      </c>
      <c r="I64" s="4" t="str">
        <f t="shared" si="1"/>
        <v>Apr</v>
      </c>
      <c r="O64" s="30" t="s">
        <v>16</v>
      </c>
      <c r="P64" s="30">
        <v>448</v>
      </c>
      <c r="Q64" s="30">
        <v>3380</v>
      </c>
      <c r="R64" s="30">
        <v>3965</v>
      </c>
      <c r="S64" s="30">
        <v>654.46</v>
      </c>
      <c r="T64" s="30">
        <v>17.309999999999999</v>
      </c>
    </row>
    <row r="65" spans="1:35" ht="15" customHeight="1" x14ac:dyDescent="0.35">
      <c r="A65" s="5">
        <v>64</v>
      </c>
      <c r="B65" s="5" t="s">
        <v>182</v>
      </c>
      <c r="C65" s="6" t="s">
        <v>15</v>
      </c>
      <c r="D65" s="6" t="s">
        <v>11</v>
      </c>
      <c r="E65" s="6" t="s">
        <v>183</v>
      </c>
      <c r="F65" s="6">
        <v>1</v>
      </c>
      <c r="G65" s="7">
        <v>349</v>
      </c>
      <c r="H65" s="14">
        <f t="shared" si="0"/>
        <v>349</v>
      </c>
      <c r="I65" s="14" t="str">
        <f t="shared" si="1"/>
        <v>Apr</v>
      </c>
    </row>
    <row r="66" spans="1:35" ht="15" customHeight="1" x14ac:dyDescent="0.35">
      <c r="A66" s="2">
        <v>65</v>
      </c>
      <c r="B66" s="2" t="s">
        <v>184</v>
      </c>
      <c r="C66" s="3" t="s">
        <v>83</v>
      </c>
      <c r="D66" s="3" t="s">
        <v>10</v>
      </c>
      <c r="E66" s="3" t="s">
        <v>185</v>
      </c>
      <c r="F66" s="3">
        <v>1</v>
      </c>
      <c r="G66" s="4">
        <v>350</v>
      </c>
      <c r="H66" s="4">
        <f t="shared" ref="H66:H129" si="5">F66*G66</f>
        <v>350</v>
      </c>
      <c r="I66" s="4" t="str">
        <f t="shared" ref="I66:I129" si="6">TEXT(DATE(RIGHT(E66,4),MID(E66,4,2),LEFT(E66,2)),"MMM")</f>
        <v>Apr</v>
      </c>
    </row>
    <row r="67" spans="1:35" ht="15" customHeight="1" x14ac:dyDescent="0.35">
      <c r="A67" s="5">
        <v>66</v>
      </c>
      <c r="B67" s="5" t="s">
        <v>184</v>
      </c>
      <c r="C67" s="6" t="s">
        <v>47</v>
      </c>
      <c r="D67" s="6" t="s">
        <v>10</v>
      </c>
      <c r="E67" s="6" t="s">
        <v>185</v>
      </c>
      <c r="F67" s="6">
        <v>1</v>
      </c>
      <c r="G67" s="7">
        <v>275</v>
      </c>
      <c r="H67" s="14">
        <f t="shared" si="5"/>
        <v>275</v>
      </c>
      <c r="I67" s="14" t="str">
        <f t="shared" si="6"/>
        <v>Apr</v>
      </c>
    </row>
    <row r="68" spans="1:35" ht="15" customHeight="1" x14ac:dyDescent="0.35">
      <c r="A68" s="2">
        <v>67</v>
      </c>
      <c r="B68" s="2" t="s">
        <v>184</v>
      </c>
      <c r="C68" s="3" t="s">
        <v>41</v>
      </c>
      <c r="D68" s="3" t="s">
        <v>10</v>
      </c>
      <c r="E68" s="3" t="s">
        <v>185</v>
      </c>
      <c r="F68" s="3">
        <v>1</v>
      </c>
      <c r="G68" s="4">
        <v>299</v>
      </c>
      <c r="H68" s="4">
        <f t="shared" si="5"/>
        <v>299</v>
      </c>
      <c r="I68" s="4" t="str">
        <f t="shared" si="6"/>
        <v>Apr</v>
      </c>
    </row>
    <row r="69" spans="1:35" ht="15" customHeight="1" x14ac:dyDescent="0.35">
      <c r="A69" s="5">
        <v>68</v>
      </c>
      <c r="B69" s="5" t="s">
        <v>186</v>
      </c>
      <c r="C69" s="6" t="s">
        <v>56</v>
      </c>
      <c r="D69" s="6" t="s">
        <v>11</v>
      </c>
      <c r="E69" s="6" t="s">
        <v>187</v>
      </c>
      <c r="F69" s="6">
        <v>1</v>
      </c>
      <c r="G69" s="7">
        <v>249</v>
      </c>
      <c r="H69" s="14">
        <f t="shared" si="5"/>
        <v>249</v>
      </c>
      <c r="I69" s="14" t="str">
        <f t="shared" si="6"/>
        <v>Apr</v>
      </c>
    </row>
    <row r="70" spans="1:35" ht="15" customHeight="1" x14ac:dyDescent="0.35">
      <c r="A70" s="2">
        <v>69</v>
      </c>
      <c r="B70" s="2" t="s">
        <v>186</v>
      </c>
      <c r="C70" s="3" t="s">
        <v>18</v>
      </c>
      <c r="D70" s="3" t="s">
        <v>11</v>
      </c>
      <c r="E70" s="3" t="s">
        <v>187</v>
      </c>
      <c r="F70" s="3">
        <v>1</v>
      </c>
      <c r="G70" s="4">
        <v>349</v>
      </c>
      <c r="H70" s="4">
        <f t="shared" si="5"/>
        <v>349</v>
      </c>
      <c r="I70" s="4" t="str">
        <f t="shared" si="6"/>
        <v>Apr</v>
      </c>
    </row>
    <row r="71" spans="1:35" ht="15" customHeight="1" x14ac:dyDescent="0.35">
      <c r="A71" s="5">
        <v>70</v>
      </c>
      <c r="B71" s="5" t="s">
        <v>188</v>
      </c>
      <c r="C71" s="6" t="s">
        <v>55</v>
      </c>
      <c r="D71" s="6" t="s">
        <v>10</v>
      </c>
      <c r="E71" s="6" t="s">
        <v>189</v>
      </c>
      <c r="F71" s="6">
        <v>1</v>
      </c>
      <c r="G71" s="7">
        <v>99</v>
      </c>
      <c r="H71" s="14">
        <f t="shared" si="5"/>
        <v>99</v>
      </c>
      <c r="I71" s="14" t="str">
        <f t="shared" si="6"/>
        <v>Apr</v>
      </c>
    </row>
    <row r="72" spans="1:35" ht="15" customHeight="1" x14ac:dyDescent="0.35">
      <c r="A72" s="2">
        <v>71</v>
      </c>
      <c r="B72" s="2" t="s">
        <v>190</v>
      </c>
      <c r="C72" s="3" t="s">
        <v>25</v>
      </c>
      <c r="D72" s="3" t="s">
        <v>11</v>
      </c>
      <c r="E72" s="3" t="s">
        <v>191</v>
      </c>
      <c r="F72" s="3">
        <v>1</v>
      </c>
      <c r="G72" s="4">
        <v>249</v>
      </c>
      <c r="H72" s="4">
        <f t="shared" si="5"/>
        <v>249</v>
      </c>
      <c r="I72" s="4" t="str">
        <f t="shared" si="6"/>
        <v>Apr</v>
      </c>
    </row>
    <row r="73" spans="1:35" ht="15" customHeight="1" x14ac:dyDescent="0.35">
      <c r="A73" s="5">
        <v>72</v>
      </c>
      <c r="B73" s="5" t="s">
        <v>192</v>
      </c>
      <c r="C73" s="6" t="s">
        <v>58</v>
      </c>
      <c r="D73" s="6" t="s">
        <v>11</v>
      </c>
      <c r="E73" s="6" t="s">
        <v>193</v>
      </c>
      <c r="F73" s="6">
        <v>1</v>
      </c>
      <c r="G73" s="7">
        <v>249</v>
      </c>
      <c r="H73" s="14">
        <f t="shared" si="5"/>
        <v>249</v>
      </c>
      <c r="I73" s="14" t="str">
        <f t="shared" si="6"/>
        <v>Apr</v>
      </c>
    </row>
    <row r="74" spans="1:35" ht="15" customHeight="1" x14ac:dyDescent="0.35">
      <c r="A74" s="2">
        <v>73</v>
      </c>
      <c r="B74" s="2" t="s">
        <v>192</v>
      </c>
      <c r="C74" s="3" t="s">
        <v>69</v>
      </c>
      <c r="D74" s="3" t="s">
        <v>10</v>
      </c>
      <c r="E74" s="3" t="s">
        <v>193</v>
      </c>
      <c r="F74" s="3">
        <v>1</v>
      </c>
      <c r="G74" s="4">
        <v>125</v>
      </c>
      <c r="H74" s="4">
        <f t="shared" si="5"/>
        <v>125</v>
      </c>
      <c r="I74" s="4" t="str">
        <f t="shared" si="6"/>
        <v>Apr</v>
      </c>
    </row>
    <row r="75" spans="1:35" ht="15" customHeight="1" x14ac:dyDescent="0.35">
      <c r="A75" s="5">
        <v>74</v>
      </c>
      <c r="B75" s="5" t="s">
        <v>192</v>
      </c>
      <c r="C75" s="6" t="s">
        <v>93</v>
      </c>
      <c r="D75" s="6" t="s">
        <v>16</v>
      </c>
      <c r="E75" s="6" t="s">
        <v>193</v>
      </c>
      <c r="F75" s="6">
        <v>1</v>
      </c>
      <c r="G75" s="7">
        <v>50</v>
      </c>
      <c r="H75" s="14">
        <f t="shared" si="5"/>
        <v>50</v>
      </c>
      <c r="I75" s="14" t="str">
        <f t="shared" si="6"/>
        <v>Apr</v>
      </c>
    </row>
    <row r="76" spans="1:35" ht="15" customHeight="1" x14ac:dyDescent="0.35">
      <c r="A76" s="2">
        <v>75</v>
      </c>
      <c r="B76" s="2" t="s">
        <v>194</v>
      </c>
      <c r="C76" s="3" t="s">
        <v>79</v>
      </c>
      <c r="D76" s="3" t="s">
        <v>19</v>
      </c>
      <c r="E76" s="3" t="s">
        <v>195</v>
      </c>
      <c r="F76" s="3">
        <v>1</v>
      </c>
      <c r="G76" s="4">
        <v>199</v>
      </c>
      <c r="H76" s="4">
        <f t="shared" si="5"/>
        <v>199</v>
      </c>
      <c r="I76" s="4" t="str">
        <f t="shared" si="6"/>
        <v>Apr</v>
      </c>
    </row>
    <row r="77" spans="1:35" ht="15" customHeight="1" x14ac:dyDescent="0.35">
      <c r="A77" s="5">
        <v>76</v>
      </c>
      <c r="B77" s="5" t="s">
        <v>196</v>
      </c>
      <c r="C77" s="6" t="s">
        <v>15</v>
      </c>
      <c r="D77" s="6" t="s">
        <v>11</v>
      </c>
      <c r="E77" s="6" t="s">
        <v>197</v>
      </c>
      <c r="F77" s="6">
        <v>1</v>
      </c>
      <c r="G77" s="7">
        <v>349</v>
      </c>
      <c r="H77" s="14">
        <f t="shared" si="5"/>
        <v>349</v>
      </c>
      <c r="I77" s="14" t="str">
        <f t="shared" si="6"/>
        <v>Apr</v>
      </c>
      <c r="AH77" s="7"/>
      <c r="AI77" s="6"/>
    </row>
    <row r="78" spans="1:35" ht="15" customHeight="1" x14ac:dyDescent="0.35">
      <c r="A78" s="2">
        <v>77</v>
      </c>
      <c r="B78" s="2" t="s">
        <v>198</v>
      </c>
      <c r="C78" s="3" t="s">
        <v>38</v>
      </c>
      <c r="D78" s="3" t="s">
        <v>11</v>
      </c>
      <c r="E78" s="3" t="s">
        <v>199</v>
      </c>
      <c r="F78" s="3">
        <v>1</v>
      </c>
      <c r="G78" s="4">
        <v>299</v>
      </c>
      <c r="H78" s="4">
        <f t="shared" si="5"/>
        <v>299</v>
      </c>
      <c r="I78" s="4" t="str">
        <f t="shared" si="6"/>
        <v>Apr</v>
      </c>
      <c r="AH78" s="4"/>
      <c r="AI78" s="3"/>
    </row>
    <row r="79" spans="1:35" ht="15" customHeight="1" x14ac:dyDescent="0.35">
      <c r="A79" s="5">
        <v>78</v>
      </c>
      <c r="B79" s="5" t="s">
        <v>198</v>
      </c>
      <c r="C79" s="6" t="s">
        <v>48</v>
      </c>
      <c r="D79" s="6" t="s">
        <v>10</v>
      </c>
      <c r="E79" s="6" t="s">
        <v>199</v>
      </c>
      <c r="F79" s="6">
        <v>1</v>
      </c>
      <c r="G79" s="7">
        <v>275</v>
      </c>
      <c r="H79" s="14">
        <f t="shared" si="5"/>
        <v>275</v>
      </c>
      <c r="I79" s="14" t="str">
        <f t="shared" si="6"/>
        <v>Apr</v>
      </c>
      <c r="AH79" s="7"/>
      <c r="AI79" s="6"/>
    </row>
    <row r="80" spans="1:35" ht="15" customHeight="1" x14ac:dyDescent="0.35">
      <c r="A80" s="2">
        <v>79</v>
      </c>
      <c r="B80" s="2" t="s">
        <v>198</v>
      </c>
      <c r="C80" s="3" t="s">
        <v>77</v>
      </c>
      <c r="D80" s="3" t="s">
        <v>11</v>
      </c>
      <c r="E80" s="3" t="s">
        <v>199</v>
      </c>
      <c r="F80" s="3">
        <v>1</v>
      </c>
      <c r="G80" s="4">
        <v>199</v>
      </c>
      <c r="H80" s="4">
        <f t="shared" si="5"/>
        <v>199</v>
      </c>
      <c r="I80" s="4" t="str">
        <f t="shared" si="6"/>
        <v>Apr</v>
      </c>
      <c r="AH80" s="4"/>
      <c r="AI80" s="3"/>
    </row>
    <row r="81" spans="1:35" ht="15" customHeight="1" x14ac:dyDescent="0.35">
      <c r="A81" s="5">
        <v>80</v>
      </c>
      <c r="B81" s="5" t="s">
        <v>200</v>
      </c>
      <c r="C81" s="6" t="s">
        <v>41</v>
      </c>
      <c r="D81" s="6" t="s">
        <v>10</v>
      </c>
      <c r="E81" s="6" t="s">
        <v>201</v>
      </c>
      <c r="F81" s="6">
        <v>1</v>
      </c>
      <c r="G81" s="7">
        <v>299</v>
      </c>
      <c r="H81" s="14">
        <f t="shared" si="5"/>
        <v>299</v>
      </c>
      <c r="I81" s="14" t="str">
        <f t="shared" si="6"/>
        <v>Apr</v>
      </c>
      <c r="AH81" s="7"/>
      <c r="AI81" s="6"/>
    </row>
    <row r="82" spans="1:35" ht="15" customHeight="1" x14ac:dyDescent="0.35">
      <c r="A82" s="2">
        <v>81</v>
      </c>
      <c r="B82" s="2" t="s">
        <v>200</v>
      </c>
      <c r="C82" s="3" t="s">
        <v>52</v>
      </c>
      <c r="D82" s="3" t="s">
        <v>10</v>
      </c>
      <c r="E82" s="3" t="s">
        <v>201</v>
      </c>
      <c r="F82" s="3">
        <v>1</v>
      </c>
      <c r="G82" s="4">
        <v>199</v>
      </c>
      <c r="H82" s="4">
        <f t="shared" si="5"/>
        <v>199</v>
      </c>
      <c r="I82" s="4" t="str">
        <f t="shared" si="6"/>
        <v>Apr</v>
      </c>
      <c r="AH82" s="4"/>
      <c r="AI82" s="3"/>
    </row>
    <row r="83" spans="1:35" ht="15" customHeight="1" x14ac:dyDescent="0.35">
      <c r="A83" s="5">
        <v>82</v>
      </c>
      <c r="B83" s="5" t="s">
        <v>200</v>
      </c>
      <c r="C83" s="6" t="s">
        <v>54</v>
      </c>
      <c r="D83" s="6" t="s">
        <v>19</v>
      </c>
      <c r="E83" s="6" t="s">
        <v>201</v>
      </c>
      <c r="F83" s="6">
        <v>1</v>
      </c>
      <c r="G83" s="7">
        <v>199</v>
      </c>
      <c r="H83" s="14">
        <f t="shared" si="5"/>
        <v>199</v>
      </c>
      <c r="I83" s="14" t="str">
        <f t="shared" si="6"/>
        <v>Apr</v>
      </c>
      <c r="AH83" s="7"/>
      <c r="AI83" s="6"/>
    </row>
    <row r="84" spans="1:35" ht="15" customHeight="1" x14ac:dyDescent="0.35">
      <c r="A84" s="2">
        <v>83</v>
      </c>
      <c r="B84" s="2" t="s">
        <v>202</v>
      </c>
      <c r="C84" s="3" t="s">
        <v>18</v>
      </c>
      <c r="D84" s="3" t="s">
        <v>11</v>
      </c>
      <c r="E84" s="3" t="s">
        <v>203</v>
      </c>
      <c r="F84" s="3">
        <v>1</v>
      </c>
      <c r="G84" s="4">
        <v>349</v>
      </c>
      <c r="H84" s="4">
        <f t="shared" si="5"/>
        <v>349</v>
      </c>
      <c r="I84" s="4" t="str">
        <f t="shared" si="6"/>
        <v>Apr</v>
      </c>
      <c r="AH84" s="4"/>
      <c r="AI84" s="3"/>
    </row>
    <row r="85" spans="1:35" ht="15" customHeight="1" x14ac:dyDescent="0.35">
      <c r="A85" s="5">
        <v>84</v>
      </c>
      <c r="B85" s="5" t="s">
        <v>202</v>
      </c>
      <c r="C85" s="6" t="s">
        <v>21</v>
      </c>
      <c r="D85" s="6" t="s">
        <v>16</v>
      </c>
      <c r="E85" s="6" t="s">
        <v>203</v>
      </c>
      <c r="F85" s="6">
        <v>1</v>
      </c>
      <c r="G85" s="7">
        <v>199</v>
      </c>
      <c r="H85" s="14">
        <f t="shared" si="5"/>
        <v>199</v>
      </c>
      <c r="I85" s="14" t="str">
        <f t="shared" si="6"/>
        <v>Apr</v>
      </c>
      <c r="AH85" s="7"/>
      <c r="AI85" s="6"/>
    </row>
    <row r="86" spans="1:35" ht="15" customHeight="1" x14ac:dyDescent="0.35">
      <c r="A86" s="2">
        <v>85</v>
      </c>
      <c r="B86" s="2" t="s">
        <v>204</v>
      </c>
      <c r="C86" s="3" t="s">
        <v>48</v>
      </c>
      <c r="D86" s="3" t="s">
        <v>10</v>
      </c>
      <c r="E86" s="3" t="s">
        <v>205</v>
      </c>
      <c r="F86" s="3">
        <v>2</v>
      </c>
      <c r="G86" s="4">
        <v>275</v>
      </c>
      <c r="H86" s="4">
        <f t="shared" si="5"/>
        <v>550</v>
      </c>
      <c r="I86" s="4" t="str">
        <f t="shared" si="6"/>
        <v>Apr</v>
      </c>
      <c r="AH86" s="4"/>
      <c r="AI86" s="3"/>
    </row>
    <row r="87" spans="1:35" ht="15" customHeight="1" x14ac:dyDescent="0.35">
      <c r="A87" s="5">
        <v>86</v>
      </c>
      <c r="B87" s="5" t="s">
        <v>206</v>
      </c>
      <c r="C87" s="6" t="s">
        <v>58</v>
      </c>
      <c r="D87" s="6" t="s">
        <v>11</v>
      </c>
      <c r="E87" s="6" t="s">
        <v>207</v>
      </c>
      <c r="F87" s="6">
        <v>1</v>
      </c>
      <c r="G87" s="7">
        <v>249</v>
      </c>
      <c r="H87" s="14">
        <f t="shared" si="5"/>
        <v>249</v>
      </c>
      <c r="I87" s="14" t="str">
        <f t="shared" si="6"/>
        <v>Apr</v>
      </c>
      <c r="AH87" s="7"/>
      <c r="AI87" s="6"/>
    </row>
    <row r="88" spans="1:35" ht="15" customHeight="1" x14ac:dyDescent="0.35">
      <c r="A88" s="2">
        <v>87</v>
      </c>
      <c r="B88" s="2" t="s">
        <v>206</v>
      </c>
      <c r="C88" s="3" t="s">
        <v>34</v>
      </c>
      <c r="D88" s="3" t="s">
        <v>16</v>
      </c>
      <c r="E88" s="3" t="s">
        <v>207</v>
      </c>
      <c r="F88" s="3">
        <v>1</v>
      </c>
      <c r="G88" s="4">
        <v>225</v>
      </c>
      <c r="H88" s="4">
        <f t="shared" si="5"/>
        <v>225</v>
      </c>
      <c r="I88" s="4" t="str">
        <f t="shared" si="6"/>
        <v>Apr</v>
      </c>
      <c r="AH88" s="4"/>
      <c r="AI88" s="3"/>
    </row>
    <row r="89" spans="1:35" ht="15" customHeight="1" x14ac:dyDescent="0.35">
      <c r="A89" s="5">
        <v>88</v>
      </c>
      <c r="B89" s="5" t="s">
        <v>206</v>
      </c>
      <c r="C89" s="6" t="s">
        <v>60</v>
      </c>
      <c r="D89" s="6" t="s">
        <v>10</v>
      </c>
      <c r="E89" s="6" t="s">
        <v>207</v>
      </c>
      <c r="F89" s="6">
        <v>1</v>
      </c>
      <c r="G89" s="7">
        <v>120</v>
      </c>
      <c r="H89" s="14">
        <f t="shared" si="5"/>
        <v>120</v>
      </c>
      <c r="I89" s="14" t="str">
        <f t="shared" si="6"/>
        <v>Apr</v>
      </c>
      <c r="AH89" s="7"/>
      <c r="AI89" s="6"/>
    </row>
    <row r="90" spans="1:35" ht="15" customHeight="1" x14ac:dyDescent="0.35">
      <c r="A90" s="2">
        <v>89</v>
      </c>
      <c r="B90" s="2" t="s">
        <v>208</v>
      </c>
      <c r="C90" s="3" t="s">
        <v>79</v>
      </c>
      <c r="D90" s="3" t="s">
        <v>19</v>
      </c>
      <c r="E90" s="3" t="s">
        <v>209</v>
      </c>
      <c r="F90" s="3">
        <v>1</v>
      </c>
      <c r="G90" s="4">
        <v>199</v>
      </c>
      <c r="H90" s="4">
        <f t="shared" si="5"/>
        <v>199</v>
      </c>
      <c r="I90" s="4" t="str">
        <f t="shared" si="6"/>
        <v>Apr</v>
      </c>
      <c r="AH90" s="4"/>
      <c r="AI90" s="3"/>
    </row>
    <row r="91" spans="1:35" ht="15" customHeight="1" x14ac:dyDescent="0.35">
      <c r="A91" s="5">
        <v>90</v>
      </c>
      <c r="B91" s="5" t="s">
        <v>208</v>
      </c>
      <c r="C91" s="6" t="s">
        <v>55</v>
      </c>
      <c r="D91" s="6" t="s">
        <v>10</v>
      </c>
      <c r="E91" s="6" t="s">
        <v>209</v>
      </c>
      <c r="F91" s="6">
        <v>1</v>
      </c>
      <c r="G91" s="7">
        <v>99</v>
      </c>
      <c r="H91" s="14">
        <f t="shared" si="5"/>
        <v>99</v>
      </c>
      <c r="I91" s="14" t="str">
        <f t="shared" si="6"/>
        <v>Apr</v>
      </c>
      <c r="AH91" s="7"/>
      <c r="AI91" s="6"/>
    </row>
    <row r="92" spans="1:35" ht="15" customHeight="1" x14ac:dyDescent="0.35">
      <c r="A92" s="2">
        <v>91</v>
      </c>
      <c r="B92" s="2" t="s">
        <v>210</v>
      </c>
      <c r="C92" s="3" t="s">
        <v>93</v>
      </c>
      <c r="D92" s="3" t="s">
        <v>16</v>
      </c>
      <c r="E92" s="3" t="s">
        <v>211</v>
      </c>
      <c r="F92" s="3">
        <v>2</v>
      </c>
      <c r="G92" s="4">
        <v>50</v>
      </c>
      <c r="H92" s="4">
        <f t="shared" si="5"/>
        <v>100</v>
      </c>
      <c r="I92" s="4" t="str">
        <f t="shared" si="6"/>
        <v>Apr</v>
      </c>
      <c r="AH92" s="4"/>
      <c r="AI92" s="3"/>
    </row>
    <row r="93" spans="1:35" ht="15" customHeight="1" x14ac:dyDescent="0.35">
      <c r="A93" s="5">
        <v>92</v>
      </c>
      <c r="B93" s="5" t="s">
        <v>212</v>
      </c>
      <c r="C93" s="6" t="s">
        <v>77</v>
      </c>
      <c r="D93" s="6" t="s">
        <v>11</v>
      </c>
      <c r="E93" s="6" t="s">
        <v>213</v>
      </c>
      <c r="F93" s="6">
        <v>1</v>
      </c>
      <c r="G93" s="7">
        <v>199</v>
      </c>
      <c r="H93" s="14">
        <f t="shared" si="5"/>
        <v>199</v>
      </c>
      <c r="I93" s="14" t="str">
        <f t="shared" si="6"/>
        <v>Apr</v>
      </c>
      <c r="AH93" s="7"/>
      <c r="AI93" s="6"/>
    </row>
    <row r="94" spans="1:35" ht="15" customHeight="1" x14ac:dyDescent="0.35">
      <c r="A94" s="2">
        <v>93</v>
      </c>
      <c r="B94" s="2" t="s">
        <v>212</v>
      </c>
      <c r="C94" s="3" t="s">
        <v>47</v>
      </c>
      <c r="D94" s="3" t="s">
        <v>10</v>
      </c>
      <c r="E94" s="3" t="s">
        <v>213</v>
      </c>
      <c r="F94" s="3">
        <v>1</v>
      </c>
      <c r="G94" s="4">
        <v>275</v>
      </c>
      <c r="H94" s="4">
        <f t="shared" si="5"/>
        <v>275</v>
      </c>
      <c r="I94" s="4" t="str">
        <f t="shared" si="6"/>
        <v>Apr</v>
      </c>
      <c r="AH94" s="4"/>
      <c r="AI94" s="3"/>
    </row>
    <row r="95" spans="1:35" ht="15" customHeight="1" x14ac:dyDescent="0.35">
      <c r="A95" s="5">
        <v>94</v>
      </c>
      <c r="B95" s="5" t="s">
        <v>212</v>
      </c>
      <c r="C95" s="6" t="s">
        <v>37</v>
      </c>
      <c r="D95" s="6" t="s">
        <v>16</v>
      </c>
      <c r="E95" s="6" t="s">
        <v>213</v>
      </c>
      <c r="F95" s="6">
        <v>1</v>
      </c>
      <c r="G95" s="7">
        <v>249</v>
      </c>
      <c r="H95" s="14">
        <f t="shared" si="5"/>
        <v>249</v>
      </c>
      <c r="I95" s="14" t="str">
        <f t="shared" si="6"/>
        <v>Apr</v>
      </c>
      <c r="AH95" s="7"/>
      <c r="AI95" s="6"/>
    </row>
    <row r="96" spans="1:35" ht="15" customHeight="1" x14ac:dyDescent="0.35">
      <c r="A96" s="2">
        <v>95</v>
      </c>
      <c r="B96" s="2" t="s">
        <v>214</v>
      </c>
      <c r="C96" s="3" t="s">
        <v>52</v>
      </c>
      <c r="D96" s="3" t="s">
        <v>10</v>
      </c>
      <c r="E96" s="3" t="s">
        <v>215</v>
      </c>
      <c r="F96" s="3">
        <v>1</v>
      </c>
      <c r="G96" s="4">
        <v>199</v>
      </c>
      <c r="H96" s="4">
        <f t="shared" si="5"/>
        <v>199</v>
      </c>
      <c r="I96" s="4" t="str">
        <f t="shared" si="6"/>
        <v>Apr</v>
      </c>
      <c r="AH96" s="4"/>
      <c r="AI96" s="3"/>
    </row>
    <row r="97" spans="1:35" ht="15" customHeight="1" x14ac:dyDescent="0.35">
      <c r="A97" s="5">
        <v>96</v>
      </c>
      <c r="B97" s="5" t="s">
        <v>214</v>
      </c>
      <c r="C97" s="6" t="s">
        <v>57</v>
      </c>
      <c r="D97" s="6" t="s">
        <v>11</v>
      </c>
      <c r="E97" s="6" t="s">
        <v>215</v>
      </c>
      <c r="F97" s="6">
        <v>1</v>
      </c>
      <c r="G97" s="7">
        <v>249</v>
      </c>
      <c r="H97" s="14">
        <f t="shared" si="5"/>
        <v>249</v>
      </c>
      <c r="I97" s="14" t="str">
        <f t="shared" si="6"/>
        <v>Apr</v>
      </c>
      <c r="AH97" s="7"/>
      <c r="AI97" s="6"/>
    </row>
    <row r="98" spans="1:35" ht="15" customHeight="1" x14ac:dyDescent="0.35">
      <c r="A98" s="2">
        <v>97</v>
      </c>
      <c r="B98" s="2" t="s">
        <v>216</v>
      </c>
      <c r="C98" s="3" t="s">
        <v>54</v>
      </c>
      <c r="D98" s="3" t="s">
        <v>19</v>
      </c>
      <c r="E98" s="3" t="s">
        <v>215</v>
      </c>
      <c r="F98" s="3">
        <v>1</v>
      </c>
      <c r="G98" s="4">
        <v>199</v>
      </c>
      <c r="H98" s="4">
        <f t="shared" si="5"/>
        <v>199</v>
      </c>
      <c r="I98" s="4" t="str">
        <f t="shared" si="6"/>
        <v>Apr</v>
      </c>
      <c r="AH98" s="4"/>
      <c r="AI98" s="3"/>
    </row>
    <row r="99" spans="1:35" ht="15" customHeight="1" x14ac:dyDescent="0.35">
      <c r="A99" s="5">
        <v>98</v>
      </c>
      <c r="B99" s="5" t="s">
        <v>216</v>
      </c>
      <c r="C99" s="6" t="s">
        <v>42</v>
      </c>
      <c r="D99" s="6" t="s">
        <v>10</v>
      </c>
      <c r="E99" s="6" t="s">
        <v>215</v>
      </c>
      <c r="F99" s="6">
        <v>1</v>
      </c>
      <c r="G99" s="7">
        <v>175</v>
      </c>
      <c r="H99" s="14">
        <f t="shared" si="5"/>
        <v>175</v>
      </c>
      <c r="I99" s="14" t="str">
        <f t="shared" si="6"/>
        <v>Apr</v>
      </c>
      <c r="AH99" s="7"/>
      <c r="AI99" s="6"/>
    </row>
    <row r="100" spans="1:35" ht="15" customHeight="1" x14ac:dyDescent="0.35">
      <c r="A100" s="2">
        <v>99</v>
      </c>
      <c r="B100" s="2" t="s">
        <v>216</v>
      </c>
      <c r="C100" s="3" t="s">
        <v>21</v>
      </c>
      <c r="D100" s="3" t="s">
        <v>16</v>
      </c>
      <c r="E100" s="3" t="s">
        <v>215</v>
      </c>
      <c r="F100" s="3">
        <v>1</v>
      </c>
      <c r="G100" s="4">
        <v>199</v>
      </c>
      <c r="H100" s="4">
        <f t="shared" si="5"/>
        <v>199</v>
      </c>
      <c r="I100" s="4" t="str">
        <f t="shared" si="6"/>
        <v>Apr</v>
      </c>
      <c r="AH100" s="4"/>
      <c r="AI100" s="3"/>
    </row>
    <row r="101" spans="1:35" ht="15" customHeight="1" x14ac:dyDescent="0.35">
      <c r="A101" s="5">
        <v>100</v>
      </c>
      <c r="B101" s="5" t="s">
        <v>217</v>
      </c>
      <c r="C101" s="6" t="s">
        <v>38</v>
      </c>
      <c r="D101" s="6" t="s">
        <v>11</v>
      </c>
      <c r="E101" s="6" t="s">
        <v>218</v>
      </c>
      <c r="F101" s="6">
        <v>1</v>
      </c>
      <c r="G101" s="7">
        <v>299</v>
      </c>
      <c r="H101" s="14">
        <f t="shared" si="5"/>
        <v>299</v>
      </c>
      <c r="I101" s="14" t="str">
        <f t="shared" si="6"/>
        <v>Apr</v>
      </c>
      <c r="AH101" s="7"/>
      <c r="AI101" s="6"/>
    </row>
    <row r="102" spans="1:35" ht="15" customHeight="1" x14ac:dyDescent="0.35">
      <c r="A102" s="2">
        <v>101</v>
      </c>
      <c r="B102" s="2" t="s">
        <v>219</v>
      </c>
      <c r="C102" s="3" t="s">
        <v>41</v>
      </c>
      <c r="D102" s="3" t="s">
        <v>10</v>
      </c>
      <c r="E102" s="3" t="s">
        <v>218</v>
      </c>
      <c r="F102" s="3">
        <v>1</v>
      </c>
      <c r="G102" s="4">
        <v>299</v>
      </c>
      <c r="H102" s="4">
        <f t="shared" si="5"/>
        <v>299</v>
      </c>
      <c r="I102" s="4" t="str">
        <f t="shared" si="6"/>
        <v>Apr</v>
      </c>
      <c r="AH102" s="4"/>
      <c r="AI102" s="3"/>
    </row>
    <row r="103" spans="1:35" ht="15" customHeight="1" x14ac:dyDescent="0.35">
      <c r="A103" s="5">
        <v>102</v>
      </c>
      <c r="B103" s="5" t="s">
        <v>219</v>
      </c>
      <c r="C103" s="6" t="s">
        <v>45</v>
      </c>
      <c r="D103" s="6" t="s">
        <v>16</v>
      </c>
      <c r="E103" s="6" t="s">
        <v>218</v>
      </c>
      <c r="F103" s="6">
        <v>1</v>
      </c>
      <c r="G103" s="7">
        <v>279</v>
      </c>
      <c r="H103" s="14">
        <f t="shared" si="5"/>
        <v>279</v>
      </c>
      <c r="I103" s="14" t="str">
        <f t="shared" si="6"/>
        <v>Apr</v>
      </c>
      <c r="AH103" s="7"/>
      <c r="AI103" s="6"/>
    </row>
    <row r="104" spans="1:35" ht="15" customHeight="1" x14ac:dyDescent="0.35">
      <c r="A104" s="2">
        <v>103</v>
      </c>
      <c r="B104" s="2" t="s">
        <v>220</v>
      </c>
      <c r="C104" s="3" t="s">
        <v>50</v>
      </c>
      <c r="D104" s="3" t="s">
        <v>19</v>
      </c>
      <c r="E104" s="3" t="s">
        <v>221</v>
      </c>
      <c r="F104" s="3">
        <v>1</v>
      </c>
      <c r="G104" s="4">
        <v>275</v>
      </c>
      <c r="H104" s="4">
        <f t="shared" si="5"/>
        <v>275</v>
      </c>
      <c r="I104" s="4" t="str">
        <f t="shared" si="6"/>
        <v>Apr</v>
      </c>
      <c r="AH104" s="4"/>
      <c r="AI104" s="3"/>
    </row>
    <row r="105" spans="1:35" ht="15" customHeight="1" x14ac:dyDescent="0.35">
      <c r="A105" s="5">
        <v>104</v>
      </c>
      <c r="B105" s="5" t="s">
        <v>220</v>
      </c>
      <c r="C105" s="6" t="s">
        <v>81</v>
      </c>
      <c r="D105" s="6" t="s">
        <v>10</v>
      </c>
      <c r="E105" s="6" t="s">
        <v>221</v>
      </c>
      <c r="F105" s="6">
        <v>1</v>
      </c>
      <c r="G105" s="7">
        <v>125</v>
      </c>
      <c r="H105" s="14">
        <f t="shared" si="5"/>
        <v>125</v>
      </c>
      <c r="I105" s="14" t="str">
        <f t="shared" si="6"/>
        <v>Apr</v>
      </c>
      <c r="AH105" s="7"/>
      <c r="AI105" s="6"/>
    </row>
    <row r="106" spans="1:35" ht="15" customHeight="1" x14ac:dyDescent="0.35">
      <c r="A106" s="2">
        <v>105</v>
      </c>
      <c r="B106" s="2" t="s">
        <v>222</v>
      </c>
      <c r="C106" s="3" t="s">
        <v>70</v>
      </c>
      <c r="D106" s="3" t="s">
        <v>19</v>
      </c>
      <c r="E106" s="3" t="s">
        <v>221</v>
      </c>
      <c r="F106" s="3">
        <v>1</v>
      </c>
      <c r="G106" s="4">
        <v>250</v>
      </c>
      <c r="H106" s="4">
        <f t="shared" si="5"/>
        <v>250</v>
      </c>
      <c r="I106" s="4" t="str">
        <f t="shared" si="6"/>
        <v>Apr</v>
      </c>
      <c r="AH106" s="4"/>
      <c r="AI106" s="3"/>
    </row>
    <row r="107" spans="1:35" ht="15" customHeight="1" x14ac:dyDescent="0.35">
      <c r="A107" s="5">
        <v>106</v>
      </c>
      <c r="B107" s="5" t="s">
        <v>223</v>
      </c>
      <c r="C107" s="6" t="s">
        <v>36</v>
      </c>
      <c r="D107" s="6" t="s">
        <v>11</v>
      </c>
      <c r="E107" s="6" t="s">
        <v>224</v>
      </c>
      <c r="F107" s="6">
        <v>1</v>
      </c>
      <c r="G107" s="7">
        <v>349</v>
      </c>
      <c r="H107" s="14">
        <f t="shared" si="5"/>
        <v>349</v>
      </c>
      <c r="I107" s="14" t="str">
        <f t="shared" si="6"/>
        <v>Apr</v>
      </c>
      <c r="AH107" s="7"/>
      <c r="AI107" s="6"/>
    </row>
    <row r="108" spans="1:35" ht="15" customHeight="1" x14ac:dyDescent="0.35">
      <c r="A108" s="2">
        <v>107</v>
      </c>
      <c r="B108" s="2" t="s">
        <v>225</v>
      </c>
      <c r="C108" s="3" t="s">
        <v>35</v>
      </c>
      <c r="D108" s="3" t="s">
        <v>11</v>
      </c>
      <c r="E108" s="3" t="s">
        <v>226</v>
      </c>
      <c r="F108" s="3">
        <v>1</v>
      </c>
      <c r="G108" s="4">
        <v>550</v>
      </c>
      <c r="H108" s="4">
        <f t="shared" si="5"/>
        <v>550</v>
      </c>
      <c r="I108" s="4" t="str">
        <f t="shared" si="6"/>
        <v>Apr</v>
      </c>
      <c r="AH108" s="4"/>
      <c r="AI108" s="3"/>
    </row>
    <row r="109" spans="1:35" ht="15" customHeight="1" x14ac:dyDescent="0.35">
      <c r="A109" s="5">
        <v>108</v>
      </c>
      <c r="B109" s="5" t="s">
        <v>225</v>
      </c>
      <c r="C109" s="6" t="s">
        <v>61</v>
      </c>
      <c r="D109" s="6" t="s">
        <v>11</v>
      </c>
      <c r="E109" s="6" t="s">
        <v>226</v>
      </c>
      <c r="F109" s="6">
        <v>1</v>
      </c>
      <c r="G109" s="7">
        <v>350</v>
      </c>
      <c r="H109" s="14">
        <f t="shared" si="5"/>
        <v>350</v>
      </c>
      <c r="I109" s="14" t="str">
        <f t="shared" si="6"/>
        <v>Apr</v>
      </c>
      <c r="AH109" s="7"/>
      <c r="AI109" s="6"/>
    </row>
    <row r="110" spans="1:35" ht="15" customHeight="1" x14ac:dyDescent="0.35">
      <c r="A110" s="2">
        <v>109</v>
      </c>
      <c r="B110" s="2" t="s">
        <v>225</v>
      </c>
      <c r="C110" s="3" t="s">
        <v>84</v>
      </c>
      <c r="D110" s="3" t="s">
        <v>10</v>
      </c>
      <c r="E110" s="3" t="s">
        <v>226</v>
      </c>
      <c r="F110" s="3">
        <v>1</v>
      </c>
      <c r="G110" s="4">
        <v>175</v>
      </c>
      <c r="H110" s="4">
        <f t="shared" si="5"/>
        <v>175</v>
      </c>
      <c r="I110" s="4" t="str">
        <f t="shared" si="6"/>
        <v>Apr</v>
      </c>
      <c r="AH110" s="4"/>
      <c r="AI110" s="3"/>
    </row>
    <row r="111" spans="1:35" ht="15" customHeight="1" x14ac:dyDescent="0.35">
      <c r="A111" s="5">
        <v>110</v>
      </c>
      <c r="B111" s="5" t="s">
        <v>227</v>
      </c>
      <c r="C111" s="6" t="s">
        <v>63</v>
      </c>
      <c r="D111" s="6" t="s">
        <v>11</v>
      </c>
      <c r="E111" s="6" t="s">
        <v>228</v>
      </c>
      <c r="F111" s="6">
        <v>1</v>
      </c>
      <c r="G111" s="7">
        <v>349</v>
      </c>
      <c r="H111" s="14">
        <f t="shared" si="5"/>
        <v>349</v>
      </c>
      <c r="I111" s="14" t="str">
        <f t="shared" si="6"/>
        <v>Apr</v>
      </c>
      <c r="AH111" s="7"/>
      <c r="AI111" s="6"/>
    </row>
    <row r="112" spans="1:35" ht="15" customHeight="1" x14ac:dyDescent="0.35">
      <c r="A112" s="2">
        <v>111</v>
      </c>
      <c r="B112" s="2" t="s">
        <v>227</v>
      </c>
      <c r="C112" s="3" t="s">
        <v>81</v>
      </c>
      <c r="D112" s="3" t="s">
        <v>10</v>
      </c>
      <c r="E112" s="3" t="s">
        <v>228</v>
      </c>
      <c r="F112" s="3">
        <v>1</v>
      </c>
      <c r="G112" s="4">
        <v>125</v>
      </c>
      <c r="H112" s="4">
        <f t="shared" si="5"/>
        <v>125</v>
      </c>
      <c r="I112" s="4" t="str">
        <f t="shared" si="6"/>
        <v>Apr</v>
      </c>
      <c r="AH112" s="4"/>
      <c r="AI112" s="3"/>
    </row>
    <row r="113" spans="1:35" ht="15" customHeight="1" x14ac:dyDescent="0.35">
      <c r="A113" s="5">
        <v>112</v>
      </c>
      <c r="B113" s="5" t="s">
        <v>227</v>
      </c>
      <c r="C113" s="6" t="s">
        <v>52</v>
      </c>
      <c r="D113" s="6" t="s">
        <v>10</v>
      </c>
      <c r="E113" s="6" t="s">
        <v>228</v>
      </c>
      <c r="F113" s="6">
        <v>1</v>
      </c>
      <c r="G113" s="7">
        <v>199</v>
      </c>
      <c r="H113" s="14">
        <f t="shared" si="5"/>
        <v>199</v>
      </c>
      <c r="I113" s="14" t="str">
        <f t="shared" si="6"/>
        <v>Apr</v>
      </c>
      <c r="AH113" s="7"/>
      <c r="AI113" s="6"/>
    </row>
    <row r="114" spans="1:35" ht="23.9" customHeight="1" x14ac:dyDescent="0.35">
      <c r="A114" s="2">
        <v>113</v>
      </c>
      <c r="B114" s="2" t="s">
        <v>229</v>
      </c>
      <c r="C114" s="10" t="s">
        <v>68</v>
      </c>
      <c r="D114" s="3" t="s">
        <v>16</v>
      </c>
      <c r="E114" s="3" t="s">
        <v>230</v>
      </c>
      <c r="F114" s="3">
        <v>1</v>
      </c>
      <c r="G114" s="4">
        <v>275</v>
      </c>
      <c r="H114" s="4">
        <f t="shared" si="5"/>
        <v>275</v>
      </c>
      <c r="I114" s="4" t="str">
        <f t="shared" si="6"/>
        <v>May</v>
      </c>
      <c r="AH114" s="4"/>
      <c r="AI114" s="3"/>
    </row>
    <row r="115" spans="1:35" ht="15" customHeight="1" x14ac:dyDescent="0.35">
      <c r="A115" s="5">
        <v>114</v>
      </c>
      <c r="B115" s="5" t="s">
        <v>229</v>
      </c>
      <c r="C115" s="9" t="s">
        <v>86</v>
      </c>
      <c r="D115" s="6" t="s">
        <v>16</v>
      </c>
      <c r="E115" s="6" t="s">
        <v>230</v>
      </c>
      <c r="F115" s="6">
        <v>1</v>
      </c>
      <c r="G115" s="7">
        <v>175</v>
      </c>
      <c r="H115" s="14">
        <f t="shared" si="5"/>
        <v>175</v>
      </c>
      <c r="I115" s="14" t="str">
        <f t="shared" si="6"/>
        <v>May</v>
      </c>
      <c r="AH115" s="7"/>
      <c r="AI115" s="6"/>
    </row>
    <row r="116" spans="1:35" ht="15" customHeight="1" x14ac:dyDescent="0.35">
      <c r="A116" s="2">
        <v>115</v>
      </c>
      <c r="B116" s="2" t="s">
        <v>229</v>
      </c>
      <c r="C116" s="3" t="s">
        <v>92</v>
      </c>
      <c r="D116" s="3" t="s">
        <v>10</v>
      </c>
      <c r="E116" s="3" t="s">
        <v>230</v>
      </c>
      <c r="F116" s="3">
        <v>1</v>
      </c>
      <c r="G116" s="4">
        <v>99</v>
      </c>
      <c r="H116" s="4">
        <f t="shared" si="5"/>
        <v>99</v>
      </c>
      <c r="I116" s="4" t="str">
        <f t="shared" si="6"/>
        <v>May</v>
      </c>
      <c r="AH116" s="4"/>
      <c r="AI116" s="3"/>
    </row>
    <row r="117" spans="1:35" ht="15" customHeight="1" x14ac:dyDescent="0.35">
      <c r="A117" s="5">
        <v>116</v>
      </c>
      <c r="B117" s="5" t="s">
        <v>231</v>
      </c>
      <c r="C117" s="6" t="s">
        <v>80</v>
      </c>
      <c r="D117" s="6" t="s">
        <v>19</v>
      </c>
      <c r="E117" s="6" t="s">
        <v>230</v>
      </c>
      <c r="F117" s="6">
        <v>1</v>
      </c>
      <c r="G117" s="7">
        <v>199</v>
      </c>
      <c r="H117" s="14">
        <f t="shared" si="5"/>
        <v>199</v>
      </c>
      <c r="I117" s="14" t="str">
        <f t="shared" si="6"/>
        <v>May</v>
      </c>
      <c r="AH117" s="7"/>
      <c r="AI117" s="6"/>
    </row>
    <row r="118" spans="1:35" ht="15" customHeight="1" x14ac:dyDescent="0.35">
      <c r="A118" s="2">
        <v>117</v>
      </c>
      <c r="B118" s="2" t="s">
        <v>231</v>
      </c>
      <c r="C118" s="3" t="s">
        <v>85</v>
      </c>
      <c r="D118" s="3" t="s">
        <v>10</v>
      </c>
      <c r="E118" s="3" t="s">
        <v>230</v>
      </c>
      <c r="F118" s="3">
        <v>1</v>
      </c>
      <c r="G118" s="4">
        <v>175</v>
      </c>
      <c r="H118" s="4">
        <f t="shared" si="5"/>
        <v>175</v>
      </c>
      <c r="I118" s="4" t="str">
        <f t="shared" si="6"/>
        <v>May</v>
      </c>
      <c r="AH118" s="4"/>
      <c r="AI118" s="3"/>
    </row>
    <row r="119" spans="1:35" ht="15" customHeight="1" x14ac:dyDescent="0.35">
      <c r="A119" s="5">
        <v>118</v>
      </c>
      <c r="B119" s="5" t="s">
        <v>232</v>
      </c>
      <c r="C119" s="6" t="s">
        <v>43</v>
      </c>
      <c r="D119" s="6" t="s">
        <v>10</v>
      </c>
      <c r="E119" s="6" t="s">
        <v>233</v>
      </c>
      <c r="F119" s="6">
        <v>2</v>
      </c>
      <c r="G119" s="7">
        <v>175</v>
      </c>
      <c r="H119" s="14">
        <f t="shared" si="5"/>
        <v>350</v>
      </c>
      <c r="I119" s="14" t="str">
        <f t="shared" si="6"/>
        <v>May</v>
      </c>
      <c r="AH119" s="7"/>
      <c r="AI119" s="6"/>
    </row>
    <row r="120" spans="1:35" ht="15" customHeight="1" x14ac:dyDescent="0.35">
      <c r="A120" s="2">
        <v>119</v>
      </c>
      <c r="B120" s="2" t="s">
        <v>234</v>
      </c>
      <c r="C120" s="3" t="s">
        <v>9</v>
      </c>
      <c r="D120" s="3" t="s">
        <v>10</v>
      </c>
      <c r="E120" s="3" t="s">
        <v>235</v>
      </c>
      <c r="F120" s="3">
        <v>8</v>
      </c>
      <c r="G120" s="4">
        <v>175</v>
      </c>
      <c r="H120" s="4">
        <f t="shared" si="5"/>
        <v>1400</v>
      </c>
      <c r="I120" s="4" t="str">
        <f t="shared" si="6"/>
        <v>May</v>
      </c>
      <c r="AH120" s="4"/>
      <c r="AI120" s="3"/>
    </row>
    <row r="121" spans="1:35" ht="15" customHeight="1" x14ac:dyDescent="0.35">
      <c r="A121" s="5">
        <v>120</v>
      </c>
      <c r="B121" s="5" t="s">
        <v>234</v>
      </c>
      <c r="C121" s="6" t="s">
        <v>82</v>
      </c>
      <c r="D121" s="6" t="s">
        <v>10</v>
      </c>
      <c r="E121" s="6" t="s">
        <v>235</v>
      </c>
      <c r="F121" s="6">
        <v>1</v>
      </c>
      <c r="G121" s="7">
        <v>180</v>
      </c>
      <c r="H121" s="14">
        <f t="shared" si="5"/>
        <v>180</v>
      </c>
      <c r="I121" s="14" t="str">
        <f t="shared" si="6"/>
        <v>May</v>
      </c>
      <c r="AH121" s="7"/>
      <c r="AI121" s="6"/>
    </row>
    <row r="122" spans="1:35" ht="15" customHeight="1" x14ac:dyDescent="0.35">
      <c r="A122" s="2">
        <v>121</v>
      </c>
      <c r="B122" s="2" t="s">
        <v>236</v>
      </c>
      <c r="C122" s="3" t="s">
        <v>53</v>
      </c>
      <c r="D122" s="3" t="s">
        <v>10</v>
      </c>
      <c r="E122" s="3" t="s">
        <v>237</v>
      </c>
      <c r="F122" s="3">
        <v>1</v>
      </c>
      <c r="G122" s="4">
        <v>199</v>
      </c>
      <c r="H122" s="4">
        <f t="shared" si="5"/>
        <v>199</v>
      </c>
      <c r="I122" s="4" t="str">
        <f t="shared" si="6"/>
        <v>May</v>
      </c>
      <c r="AH122" s="4"/>
      <c r="AI122" s="3"/>
    </row>
    <row r="123" spans="1:35" ht="15" customHeight="1" x14ac:dyDescent="0.35">
      <c r="A123" s="5">
        <v>122</v>
      </c>
      <c r="B123" s="5" t="s">
        <v>236</v>
      </c>
      <c r="C123" s="6" t="s">
        <v>60</v>
      </c>
      <c r="D123" s="6" t="s">
        <v>10</v>
      </c>
      <c r="E123" s="6" t="s">
        <v>237</v>
      </c>
      <c r="F123" s="6">
        <v>1</v>
      </c>
      <c r="G123" s="7">
        <v>120</v>
      </c>
      <c r="H123" s="14">
        <f t="shared" si="5"/>
        <v>120</v>
      </c>
      <c r="I123" s="14" t="str">
        <f t="shared" si="6"/>
        <v>May</v>
      </c>
      <c r="AH123" s="7"/>
      <c r="AI123" s="6"/>
    </row>
    <row r="124" spans="1:35" ht="15" customHeight="1" x14ac:dyDescent="0.35">
      <c r="A124" s="2">
        <v>123</v>
      </c>
      <c r="B124" s="2" t="s">
        <v>236</v>
      </c>
      <c r="C124" s="3" t="s">
        <v>50</v>
      </c>
      <c r="D124" s="3" t="s">
        <v>19</v>
      </c>
      <c r="E124" s="3" t="s">
        <v>237</v>
      </c>
      <c r="F124" s="3">
        <v>1</v>
      </c>
      <c r="G124" s="4">
        <v>275</v>
      </c>
      <c r="H124" s="4">
        <f t="shared" si="5"/>
        <v>275</v>
      </c>
      <c r="I124" s="4" t="str">
        <f t="shared" si="6"/>
        <v>May</v>
      </c>
      <c r="AH124" s="4"/>
      <c r="AI124" s="3"/>
    </row>
    <row r="125" spans="1:35" ht="15" customHeight="1" x14ac:dyDescent="0.35">
      <c r="A125" s="5">
        <v>124</v>
      </c>
      <c r="B125" s="5" t="s">
        <v>238</v>
      </c>
      <c r="C125" s="6" t="s">
        <v>21</v>
      </c>
      <c r="D125" s="6" t="s">
        <v>16</v>
      </c>
      <c r="E125" s="6" t="s">
        <v>237</v>
      </c>
      <c r="F125" s="6">
        <v>1</v>
      </c>
      <c r="G125" s="7">
        <v>199</v>
      </c>
      <c r="H125" s="14">
        <f t="shared" si="5"/>
        <v>199</v>
      </c>
      <c r="I125" s="14" t="str">
        <f t="shared" si="6"/>
        <v>May</v>
      </c>
      <c r="AH125" s="7"/>
      <c r="AI125" s="6"/>
    </row>
    <row r="126" spans="1:35" ht="15" customHeight="1" x14ac:dyDescent="0.35">
      <c r="A126" s="2">
        <v>125</v>
      </c>
      <c r="B126" s="2" t="s">
        <v>238</v>
      </c>
      <c r="C126" s="3" t="s">
        <v>70</v>
      </c>
      <c r="D126" s="3" t="s">
        <v>19</v>
      </c>
      <c r="E126" s="3" t="s">
        <v>237</v>
      </c>
      <c r="F126" s="3">
        <v>1</v>
      </c>
      <c r="G126" s="4">
        <v>250</v>
      </c>
      <c r="H126" s="4">
        <f t="shared" si="5"/>
        <v>250</v>
      </c>
      <c r="I126" s="4" t="str">
        <f t="shared" si="6"/>
        <v>May</v>
      </c>
      <c r="AH126" s="4"/>
      <c r="AI126" s="3"/>
    </row>
    <row r="127" spans="1:35" ht="15" customHeight="1" x14ac:dyDescent="0.35">
      <c r="A127" s="5">
        <v>126</v>
      </c>
      <c r="B127" s="5" t="s">
        <v>239</v>
      </c>
      <c r="C127" s="6" t="s">
        <v>35</v>
      </c>
      <c r="D127" s="6" t="s">
        <v>11</v>
      </c>
      <c r="E127" s="6" t="s">
        <v>240</v>
      </c>
      <c r="F127" s="6">
        <v>1</v>
      </c>
      <c r="G127" s="7">
        <v>550</v>
      </c>
      <c r="H127" s="14">
        <f t="shared" si="5"/>
        <v>550</v>
      </c>
      <c r="I127" s="14" t="str">
        <f t="shared" si="6"/>
        <v>May</v>
      </c>
      <c r="AH127" s="7"/>
      <c r="AI127" s="6"/>
    </row>
    <row r="128" spans="1:35" ht="15" customHeight="1" x14ac:dyDescent="0.35">
      <c r="A128" s="2">
        <v>127</v>
      </c>
      <c r="B128" s="2" t="s">
        <v>239</v>
      </c>
      <c r="C128" s="3" t="s">
        <v>81</v>
      </c>
      <c r="D128" s="3" t="s">
        <v>10</v>
      </c>
      <c r="E128" s="3" t="s">
        <v>240</v>
      </c>
      <c r="F128" s="3">
        <v>1</v>
      </c>
      <c r="G128" s="4">
        <v>125</v>
      </c>
      <c r="H128" s="4">
        <f t="shared" si="5"/>
        <v>125</v>
      </c>
      <c r="I128" s="4" t="str">
        <f t="shared" si="6"/>
        <v>May</v>
      </c>
      <c r="AH128" s="4"/>
      <c r="AI128" s="3"/>
    </row>
    <row r="129" spans="1:35" ht="15" customHeight="1" x14ac:dyDescent="0.35">
      <c r="A129" s="5">
        <v>128</v>
      </c>
      <c r="B129" s="5" t="s">
        <v>239</v>
      </c>
      <c r="C129" s="6" t="s">
        <v>43</v>
      </c>
      <c r="D129" s="6" t="s">
        <v>10</v>
      </c>
      <c r="E129" s="6" t="s">
        <v>240</v>
      </c>
      <c r="F129" s="6">
        <v>1</v>
      </c>
      <c r="G129" s="7">
        <v>175</v>
      </c>
      <c r="H129" s="14">
        <f t="shared" si="5"/>
        <v>175</v>
      </c>
      <c r="I129" s="14" t="str">
        <f t="shared" si="6"/>
        <v>May</v>
      </c>
      <c r="AH129" s="7"/>
      <c r="AI129" s="6"/>
    </row>
    <row r="130" spans="1:35" ht="15" customHeight="1" x14ac:dyDescent="0.35">
      <c r="A130" s="2">
        <v>129</v>
      </c>
      <c r="B130" s="2" t="s">
        <v>241</v>
      </c>
      <c r="C130" s="3" t="s">
        <v>53</v>
      </c>
      <c r="D130" s="3" t="s">
        <v>10</v>
      </c>
      <c r="E130" s="3" t="s">
        <v>242</v>
      </c>
      <c r="F130" s="3">
        <v>2</v>
      </c>
      <c r="G130" s="4">
        <v>199</v>
      </c>
      <c r="H130" s="4">
        <f t="shared" ref="H130:H193" si="7">F130*G130</f>
        <v>398</v>
      </c>
      <c r="I130" s="4" t="str">
        <f t="shared" ref="I130:I193" si="8">TEXT(DATE(RIGHT(E130,4),MID(E130,4,2),LEFT(E130,2)),"MMM")</f>
        <v>May</v>
      </c>
      <c r="AH130" s="4"/>
      <c r="AI130" s="3"/>
    </row>
    <row r="131" spans="1:35" ht="15" customHeight="1" x14ac:dyDescent="0.35">
      <c r="A131" s="5">
        <v>130</v>
      </c>
      <c r="B131" s="5" t="s">
        <v>243</v>
      </c>
      <c r="C131" s="6" t="s">
        <v>80</v>
      </c>
      <c r="D131" s="6" t="s">
        <v>19</v>
      </c>
      <c r="E131" s="6" t="s">
        <v>244</v>
      </c>
      <c r="F131" s="6">
        <v>1</v>
      </c>
      <c r="G131" s="7">
        <v>199</v>
      </c>
      <c r="H131" s="14">
        <f t="shared" si="7"/>
        <v>199</v>
      </c>
      <c r="I131" s="14" t="str">
        <f t="shared" si="8"/>
        <v>May</v>
      </c>
      <c r="AH131" s="7"/>
      <c r="AI131" s="6"/>
    </row>
    <row r="132" spans="1:35" ht="23.9" customHeight="1" x14ac:dyDescent="0.35">
      <c r="A132" s="2">
        <v>131</v>
      </c>
      <c r="B132" s="2" t="s">
        <v>243</v>
      </c>
      <c r="C132" s="10" t="s">
        <v>68</v>
      </c>
      <c r="D132" s="3" t="s">
        <v>16</v>
      </c>
      <c r="E132" s="3" t="s">
        <v>244</v>
      </c>
      <c r="F132" s="3">
        <v>1</v>
      </c>
      <c r="G132" s="4">
        <v>275</v>
      </c>
      <c r="H132" s="4">
        <f t="shared" si="7"/>
        <v>275</v>
      </c>
      <c r="I132" s="4" t="str">
        <f t="shared" si="8"/>
        <v>May</v>
      </c>
      <c r="AH132" s="4"/>
      <c r="AI132" s="3"/>
    </row>
    <row r="133" spans="1:35" ht="15" customHeight="1" x14ac:dyDescent="0.35">
      <c r="A133" s="5">
        <v>132</v>
      </c>
      <c r="B133" s="5" t="s">
        <v>245</v>
      </c>
      <c r="C133" s="6" t="s">
        <v>61</v>
      </c>
      <c r="D133" s="6" t="s">
        <v>11</v>
      </c>
      <c r="E133" s="6" t="s">
        <v>244</v>
      </c>
      <c r="F133" s="6">
        <v>1</v>
      </c>
      <c r="G133" s="7">
        <v>350</v>
      </c>
      <c r="H133" s="14">
        <f t="shared" si="7"/>
        <v>350</v>
      </c>
      <c r="I133" s="14" t="str">
        <f t="shared" si="8"/>
        <v>May</v>
      </c>
      <c r="AH133" s="7"/>
      <c r="AI133" s="6"/>
    </row>
    <row r="134" spans="1:35" ht="15" customHeight="1" x14ac:dyDescent="0.35">
      <c r="A134" s="2">
        <v>133</v>
      </c>
      <c r="B134" s="2" t="s">
        <v>245</v>
      </c>
      <c r="C134" s="3" t="s">
        <v>92</v>
      </c>
      <c r="D134" s="3" t="s">
        <v>10</v>
      </c>
      <c r="E134" s="3" t="s">
        <v>244</v>
      </c>
      <c r="F134" s="3">
        <v>1</v>
      </c>
      <c r="G134" s="4">
        <v>99</v>
      </c>
      <c r="H134" s="4">
        <f t="shared" si="7"/>
        <v>99</v>
      </c>
      <c r="I134" s="4" t="str">
        <f t="shared" si="8"/>
        <v>May</v>
      </c>
      <c r="AH134" s="4"/>
      <c r="AI134" s="3"/>
    </row>
    <row r="135" spans="1:35" ht="15" customHeight="1" x14ac:dyDescent="0.35">
      <c r="A135" s="5">
        <v>134</v>
      </c>
      <c r="B135" s="5" t="s">
        <v>245</v>
      </c>
      <c r="C135" s="6" t="s">
        <v>82</v>
      </c>
      <c r="D135" s="6" t="s">
        <v>10</v>
      </c>
      <c r="E135" s="6" t="s">
        <v>244</v>
      </c>
      <c r="F135" s="6">
        <v>1</v>
      </c>
      <c r="G135" s="7">
        <v>180</v>
      </c>
      <c r="H135" s="14">
        <f t="shared" si="7"/>
        <v>180</v>
      </c>
      <c r="I135" s="14" t="str">
        <f t="shared" si="8"/>
        <v>May</v>
      </c>
      <c r="AH135" s="7"/>
      <c r="AI135" s="6"/>
    </row>
    <row r="136" spans="1:35" ht="15" customHeight="1" x14ac:dyDescent="0.35">
      <c r="A136" s="2">
        <v>135</v>
      </c>
      <c r="B136" s="2" t="s">
        <v>246</v>
      </c>
      <c r="C136" s="10" t="s">
        <v>86</v>
      </c>
      <c r="D136" s="3" t="s">
        <v>16</v>
      </c>
      <c r="E136" s="3" t="s">
        <v>247</v>
      </c>
      <c r="F136" s="3">
        <v>1</v>
      </c>
      <c r="G136" s="4">
        <v>175</v>
      </c>
      <c r="H136" s="4">
        <f t="shared" si="7"/>
        <v>175</v>
      </c>
      <c r="I136" s="4" t="str">
        <f t="shared" si="8"/>
        <v>May</v>
      </c>
      <c r="AH136" s="4"/>
      <c r="AI136" s="3"/>
    </row>
    <row r="137" spans="1:35" ht="15" customHeight="1" x14ac:dyDescent="0.35">
      <c r="A137" s="5">
        <v>136</v>
      </c>
      <c r="B137" s="5" t="s">
        <v>248</v>
      </c>
      <c r="C137" s="6" t="s">
        <v>36</v>
      </c>
      <c r="D137" s="6" t="s">
        <v>11</v>
      </c>
      <c r="E137" s="6" t="s">
        <v>249</v>
      </c>
      <c r="F137" s="6">
        <v>1</v>
      </c>
      <c r="G137" s="7">
        <v>349</v>
      </c>
      <c r="H137" s="14">
        <f t="shared" si="7"/>
        <v>349</v>
      </c>
      <c r="I137" s="14" t="str">
        <f t="shared" si="8"/>
        <v>May</v>
      </c>
      <c r="AH137" s="7"/>
      <c r="AI137" s="6"/>
    </row>
    <row r="138" spans="1:35" ht="15" customHeight="1" x14ac:dyDescent="0.35">
      <c r="A138" s="2">
        <v>137</v>
      </c>
      <c r="B138" s="2" t="s">
        <v>248</v>
      </c>
      <c r="C138" s="3" t="s">
        <v>50</v>
      </c>
      <c r="D138" s="3" t="s">
        <v>19</v>
      </c>
      <c r="E138" s="3" t="s">
        <v>249</v>
      </c>
      <c r="F138" s="3">
        <v>1</v>
      </c>
      <c r="G138" s="4">
        <v>275</v>
      </c>
      <c r="H138" s="4">
        <f t="shared" si="7"/>
        <v>275</v>
      </c>
      <c r="I138" s="4" t="str">
        <f t="shared" si="8"/>
        <v>May</v>
      </c>
      <c r="AH138" s="4"/>
      <c r="AI138" s="3"/>
    </row>
    <row r="139" spans="1:35" ht="15" customHeight="1" x14ac:dyDescent="0.35">
      <c r="A139" s="5">
        <v>138</v>
      </c>
      <c r="B139" s="5" t="s">
        <v>250</v>
      </c>
      <c r="C139" s="6" t="s">
        <v>63</v>
      </c>
      <c r="D139" s="6" t="s">
        <v>11</v>
      </c>
      <c r="E139" s="6" t="s">
        <v>249</v>
      </c>
      <c r="F139" s="6">
        <v>1</v>
      </c>
      <c r="G139" s="7">
        <v>349</v>
      </c>
      <c r="H139" s="14">
        <f t="shared" si="7"/>
        <v>349</v>
      </c>
      <c r="I139" s="14" t="str">
        <f t="shared" si="8"/>
        <v>May</v>
      </c>
      <c r="AH139" s="7"/>
      <c r="AI139" s="6"/>
    </row>
    <row r="140" spans="1:35" ht="15" customHeight="1" x14ac:dyDescent="0.35">
      <c r="A140" s="2">
        <v>139</v>
      </c>
      <c r="B140" s="2" t="s">
        <v>250</v>
      </c>
      <c r="C140" s="3" t="s">
        <v>85</v>
      </c>
      <c r="D140" s="3" t="s">
        <v>10</v>
      </c>
      <c r="E140" s="3" t="s">
        <v>249</v>
      </c>
      <c r="F140" s="3">
        <v>1</v>
      </c>
      <c r="G140" s="4">
        <v>175</v>
      </c>
      <c r="H140" s="4">
        <f t="shared" si="7"/>
        <v>175</v>
      </c>
      <c r="I140" s="4" t="str">
        <f t="shared" si="8"/>
        <v>May</v>
      </c>
      <c r="AH140" s="4"/>
      <c r="AI140" s="3"/>
    </row>
    <row r="141" spans="1:35" ht="15" customHeight="1" x14ac:dyDescent="0.35">
      <c r="A141" s="5">
        <v>140</v>
      </c>
      <c r="B141" s="5" t="s">
        <v>250</v>
      </c>
      <c r="C141" s="6" t="s">
        <v>34</v>
      </c>
      <c r="D141" s="6" t="s">
        <v>16</v>
      </c>
      <c r="E141" s="6" t="s">
        <v>249</v>
      </c>
      <c r="F141" s="6">
        <v>1</v>
      </c>
      <c r="G141" s="7">
        <v>225</v>
      </c>
      <c r="H141" s="14">
        <f t="shared" si="7"/>
        <v>225</v>
      </c>
      <c r="I141" s="14" t="str">
        <f t="shared" si="8"/>
        <v>May</v>
      </c>
      <c r="AH141" s="7"/>
      <c r="AI141" s="6"/>
    </row>
    <row r="142" spans="1:35" ht="15" customHeight="1" x14ac:dyDescent="0.35">
      <c r="A142" s="2">
        <v>141</v>
      </c>
      <c r="B142" s="2" t="s">
        <v>251</v>
      </c>
      <c r="C142" s="3" t="s">
        <v>43</v>
      </c>
      <c r="D142" s="3" t="s">
        <v>10</v>
      </c>
      <c r="E142" s="3" t="s">
        <v>252</v>
      </c>
      <c r="F142" s="3">
        <v>1</v>
      </c>
      <c r="G142" s="4">
        <v>175</v>
      </c>
      <c r="H142" s="4">
        <f t="shared" si="7"/>
        <v>175</v>
      </c>
      <c r="I142" s="4" t="str">
        <f t="shared" si="8"/>
        <v>May</v>
      </c>
      <c r="AH142" s="4"/>
      <c r="AI142" s="3"/>
    </row>
    <row r="143" spans="1:35" ht="15" customHeight="1" x14ac:dyDescent="0.35">
      <c r="A143" s="5">
        <v>142</v>
      </c>
      <c r="B143" s="5" t="s">
        <v>253</v>
      </c>
      <c r="C143" s="6" t="s">
        <v>84</v>
      </c>
      <c r="D143" s="6" t="s">
        <v>10</v>
      </c>
      <c r="E143" s="6" t="s">
        <v>252</v>
      </c>
      <c r="F143" s="6">
        <v>1</v>
      </c>
      <c r="G143" s="7">
        <v>175</v>
      </c>
      <c r="H143" s="14">
        <f t="shared" si="7"/>
        <v>175</v>
      </c>
      <c r="I143" s="14" t="str">
        <f t="shared" si="8"/>
        <v>May</v>
      </c>
      <c r="AH143" s="7"/>
      <c r="AI143" s="6"/>
    </row>
    <row r="144" spans="1:35" ht="15" customHeight="1" x14ac:dyDescent="0.35">
      <c r="A144" s="2">
        <v>143</v>
      </c>
      <c r="B144" s="2" t="s">
        <v>253</v>
      </c>
      <c r="C144" s="3" t="s">
        <v>25</v>
      </c>
      <c r="D144" s="3" t="s">
        <v>11</v>
      </c>
      <c r="E144" s="3" t="s">
        <v>252</v>
      </c>
      <c r="F144" s="3">
        <v>1</v>
      </c>
      <c r="G144" s="4">
        <v>249</v>
      </c>
      <c r="H144" s="4">
        <f t="shared" si="7"/>
        <v>249</v>
      </c>
      <c r="I144" s="4" t="str">
        <f t="shared" si="8"/>
        <v>May</v>
      </c>
      <c r="AH144" s="4"/>
      <c r="AI144" s="3"/>
    </row>
    <row r="145" spans="1:35" ht="15" customHeight="1" x14ac:dyDescent="0.35">
      <c r="A145" s="5">
        <v>144</v>
      </c>
      <c r="B145" s="5" t="s">
        <v>253</v>
      </c>
      <c r="C145" s="6" t="s">
        <v>37</v>
      </c>
      <c r="D145" s="6" t="s">
        <v>16</v>
      </c>
      <c r="E145" s="6" t="s">
        <v>252</v>
      </c>
      <c r="F145" s="6">
        <v>1</v>
      </c>
      <c r="G145" s="7">
        <v>249</v>
      </c>
      <c r="H145" s="14">
        <f t="shared" si="7"/>
        <v>249</v>
      </c>
      <c r="I145" s="14" t="str">
        <f t="shared" si="8"/>
        <v>May</v>
      </c>
      <c r="AH145" s="7"/>
      <c r="AI145" s="6"/>
    </row>
    <row r="146" spans="1:35" ht="15" customHeight="1" x14ac:dyDescent="0.35">
      <c r="A146" s="2">
        <v>145</v>
      </c>
      <c r="B146" s="2" t="s">
        <v>254</v>
      </c>
      <c r="C146" s="3" t="s">
        <v>66</v>
      </c>
      <c r="D146" s="3" t="s">
        <v>10</v>
      </c>
      <c r="E146" s="3" t="s">
        <v>255</v>
      </c>
      <c r="F146" s="3">
        <v>1</v>
      </c>
      <c r="G146" s="4">
        <v>199</v>
      </c>
      <c r="H146" s="4">
        <f t="shared" si="7"/>
        <v>199</v>
      </c>
      <c r="I146" s="4" t="str">
        <f t="shared" si="8"/>
        <v>May</v>
      </c>
      <c r="AH146" s="4"/>
      <c r="AI146" s="3"/>
    </row>
    <row r="147" spans="1:35" ht="15" customHeight="1" x14ac:dyDescent="0.35">
      <c r="A147" s="5">
        <v>146</v>
      </c>
      <c r="B147" s="5" t="s">
        <v>254</v>
      </c>
      <c r="C147" s="6" t="s">
        <v>31</v>
      </c>
      <c r="D147" s="6" t="s">
        <v>11</v>
      </c>
      <c r="E147" s="6" t="s">
        <v>255</v>
      </c>
      <c r="F147" s="6">
        <v>1</v>
      </c>
      <c r="G147" s="7">
        <v>399</v>
      </c>
      <c r="H147" s="14">
        <f t="shared" si="7"/>
        <v>399</v>
      </c>
      <c r="I147" s="14" t="str">
        <f t="shared" si="8"/>
        <v>May</v>
      </c>
      <c r="AH147" s="7"/>
      <c r="AI147" s="6"/>
    </row>
    <row r="148" spans="1:35" ht="15" customHeight="1" x14ac:dyDescent="0.35">
      <c r="A148" s="2">
        <v>147</v>
      </c>
      <c r="B148" s="2" t="s">
        <v>256</v>
      </c>
      <c r="C148" s="3" t="s">
        <v>76</v>
      </c>
      <c r="D148" s="3" t="s">
        <v>11</v>
      </c>
      <c r="E148" s="3" t="s">
        <v>255</v>
      </c>
      <c r="F148" s="3">
        <v>1</v>
      </c>
      <c r="G148" s="4">
        <v>215</v>
      </c>
      <c r="H148" s="4">
        <f t="shared" si="7"/>
        <v>215</v>
      </c>
      <c r="I148" s="4" t="str">
        <f t="shared" si="8"/>
        <v>May</v>
      </c>
      <c r="AH148" s="4"/>
      <c r="AI148" s="3"/>
    </row>
    <row r="149" spans="1:35" ht="15" customHeight="1" x14ac:dyDescent="0.35">
      <c r="A149" s="5">
        <v>148</v>
      </c>
      <c r="B149" s="5" t="s">
        <v>256</v>
      </c>
      <c r="C149" s="9" t="s">
        <v>72</v>
      </c>
      <c r="D149" s="6" t="s">
        <v>16</v>
      </c>
      <c r="E149" s="6" t="s">
        <v>255</v>
      </c>
      <c r="F149" s="6">
        <v>1</v>
      </c>
      <c r="G149" s="7">
        <v>249</v>
      </c>
      <c r="H149" s="14">
        <f t="shared" si="7"/>
        <v>249</v>
      </c>
      <c r="I149" s="14" t="str">
        <f t="shared" si="8"/>
        <v>May</v>
      </c>
      <c r="AH149" s="7"/>
      <c r="AI149" s="6"/>
    </row>
    <row r="150" spans="1:35" ht="15" customHeight="1" x14ac:dyDescent="0.35">
      <c r="A150" s="2">
        <v>149</v>
      </c>
      <c r="B150" s="2" t="s">
        <v>257</v>
      </c>
      <c r="C150" s="3" t="s">
        <v>39</v>
      </c>
      <c r="D150" s="3" t="s">
        <v>11</v>
      </c>
      <c r="E150" s="3" t="s">
        <v>258</v>
      </c>
      <c r="F150" s="3">
        <v>2</v>
      </c>
      <c r="G150" s="4">
        <v>299</v>
      </c>
      <c r="H150" s="4">
        <f t="shared" si="7"/>
        <v>598</v>
      </c>
      <c r="I150" s="4" t="str">
        <f t="shared" si="8"/>
        <v>May</v>
      </c>
      <c r="AH150" s="4"/>
      <c r="AI150" s="3"/>
    </row>
    <row r="151" spans="1:35" ht="15" customHeight="1" x14ac:dyDescent="0.35">
      <c r="A151" s="5">
        <v>150</v>
      </c>
      <c r="B151" s="5" t="s">
        <v>257</v>
      </c>
      <c r="C151" s="6" t="s">
        <v>47</v>
      </c>
      <c r="D151" s="6" t="s">
        <v>10</v>
      </c>
      <c r="E151" s="6" t="s">
        <v>258</v>
      </c>
      <c r="F151" s="6">
        <v>1</v>
      </c>
      <c r="G151" s="7">
        <v>275</v>
      </c>
      <c r="H151" s="14">
        <f t="shared" si="7"/>
        <v>275</v>
      </c>
      <c r="I151" s="14" t="str">
        <f t="shared" si="8"/>
        <v>May</v>
      </c>
      <c r="AH151" s="7"/>
      <c r="AI151" s="6"/>
    </row>
    <row r="152" spans="1:35" ht="15" customHeight="1" x14ac:dyDescent="0.35">
      <c r="A152" s="2">
        <v>151</v>
      </c>
      <c r="B152" s="2" t="s">
        <v>259</v>
      </c>
      <c r="C152" s="3" t="s">
        <v>13</v>
      </c>
      <c r="D152" s="3" t="s">
        <v>10</v>
      </c>
      <c r="E152" s="3" t="s">
        <v>258</v>
      </c>
      <c r="F152" s="3">
        <v>1</v>
      </c>
      <c r="G152" s="4">
        <v>499</v>
      </c>
      <c r="H152" s="4">
        <f t="shared" si="7"/>
        <v>499</v>
      </c>
      <c r="I152" s="4" t="str">
        <f t="shared" si="8"/>
        <v>May</v>
      </c>
      <c r="AH152" s="4"/>
      <c r="AI152" s="3"/>
    </row>
    <row r="153" spans="1:35" ht="15" customHeight="1" x14ac:dyDescent="0.35">
      <c r="A153" s="5">
        <v>152</v>
      </c>
      <c r="B153" s="5" t="s">
        <v>259</v>
      </c>
      <c r="C153" s="6" t="s">
        <v>52</v>
      </c>
      <c r="D153" s="6" t="s">
        <v>10</v>
      </c>
      <c r="E153" s="6" t="s">
        <v>258</v>
      </c>
      <c r="F153" s="6">
        <v>1</v>
      </c>
      <c r="G153" s="7">
        <v>199</v>
      </c>
      <c r="H153" s="14">
        <f t="shared" si="7"/>
        <v>199</v>
      </c>
      <c r="I153" s="14" t="str">
        <f t="shared" si="8"/>
        <v>May</v>
      </c>
      <c r="AH153" s="7"/>
      <c r="AI153" s="6"/>
    </row>
    <row r="154" spans="1:35" ht="15" customHeight="1" x14ac:dyDescent="0.35">
      <c r="A154" s="2">
        <v>153</v>
      </c>
      <c r="B154" s="2" t="s">
        <v>260</v>
      </c>
      <c r="C154" s="3" t="s">
        <v>57</v>
      </c>
      <c r="D154" s="3" t="s">
        <v>11</v>
      </c>
      <c r="E154" s="3" t="s">
        <v>261</v>
      </c>
      <c r="F154" s="3">
        <v>1</v>
      </c>
      <c r="G154" s="4">
        <v>249</v>
      </c>
      <c r="H154" s="4">
        <f t="shared" si="7"/>
        <v>249</v>
      </c>
      <c r="I154" s="4" t="str">
        <f t="shared" si="8"/>
        <v>May</v>
      </c>
      <c r="AH154" s="4"/>
      <c r="AI154" s="3"/>
    </row>
    <row r="155" spans="1:35" ht="15" customHeight="1" x14ac:dyDescent="0.35">
      <c r="A155" s="5">
        <v>154</v>
      </c>
      <c r="B155" s="5" t="s">
        <v>260</v>
      </c>
      <c r="C155" s="9" t="s">
        <v>75</v>
      </c>
      <c r="D155" s="6" t="s">
        <v>16</v>
      </c>
      <c r="E155" s="6" t="s">
        <v>261</v>
      </c>
      <c r="F155" s="6">
        <v>1</v>
      </c>
      <c r="G155" s="7">
        <v>150</v>
      </c>
      <c r="H155" s="14">
        <f t="shared" si="7"/>
        <v>150</v>
      </c>
      <c r="I155" s="14" t="str">
        <f t="shared" si="8"/>
        <v>May</v>
      </c>
      <c r="AH155" s="7"/>
      <c r="AI155" s="6"/>
    </row>
    <row r="156" spans="1:35" ht="15" customHeight="1" x14ac:dyDescent="0.35">
      <c r="A156" s="2">
        <v>155</v>
      </c>
      <c r="B156" s="2" t="s">
        <v>260</v>
      </c>
      <c r="C156" s="3" t="s">
        <v>33</v>
      </c>
      <c r="D156" s="3" t="s">
        <v>11</v>
      </c>
      <c r="E156" s="3" t="s">
        <v>261</v>
      </c>
      <c r="F156" s="3">
        <v>1</v>
      </c>
      <c r="G156" s="4">
        <v>375</v>
      </c>
      <c r="H156" s="4">
        <f t="shared" si="7"/>
        <v>375</v>
      </c>
      <c r="I156" s="4" t="str">
        <f t="shared" si="8"/>
        <v>May</v>
      </c>
      <c r="AH156" s="4"/>
      <c r="AI156" s="3"/>
    </row>
    <row r="157" spans="1:35" ht="15" customHeight="1" x14ac:dyDescent="0.35">
      <c r="A157" s="5">
        <v>156</v>
      </c>
      <c r="B157" s="5" t="s">
        <v>262</v>
      </c>
      <c r="C157" s="6" t="s">
        <v>46</v>
      </c>
      <c r="D157" s="6" t="s">
        <v>11</v>
      </c>
      <c r="E157" s="6" t="s">
        <v>261</v>
      </c>
      <c r="F157" s="6">
        <v>1</v>
      </c>
      <c r="G157" s="7">
        <v>275</v>
      </c>
      <c r="H157" s="14">
        <f t="shared" si="7"/>
        <v>275</v>
      </c>
      <c r="I157" s="14" t="str">
        <f t="shared" si="8"/>
        <v>May</v>
      </c>
      <c r="AH157" s="7"/>
      <c r="AI157" s="6"/>
    </row>
    <row r="158" spans="1:35" ht="15" customHeight="1" x14ac:dyDescent="0.35">
      <c r="A158" s="2">
        <v>157</v>
      </c>
      <c r="B158" s="2" t="s">
        <v>262</v>
      </c>
      <c r="C158" s="3" t="s">
        <v>78</v>
      </c>
      <c r="D158" s="3" t="s">
        <v>11</v>
      </c>
      <c r="E158" s="3" t="s">
        <v>261</v>
      </c>
      <c r="F158" s="3">
        <v>1</v>
      </c>
      <c r="G158" s="4">
        <v>199</v>
      </c>
      <c r="H158" s="4">
        <f t="shared" si="7"/>
        <v>199</v>
      </c>
      <c r="I158" s="4" t="str">
        <f t="shared" si="8"/>
        <v>May</v>
      </c>
      <c r="AH158" s="4"/>
      <c r="AI158" s="3"/>
    </row>
    <row r="159" spans="1:35" ht="15" customHeight="1" x14ac:dyDescent="0.35">
      <c r="A159" s="5">
        <v>158</v>
      </c>
      <c r="B159" s="5" t="s">
        <v>262</v>
      </c>
      <c r="C159" s="6" t="s">
        <v>13</v>
      </c>
      <c r="D159" s="6" t="s">
        <v>10</v>
      </c>
      <c r="E159" s="6" t="s">
        <v>261</v>
      </c>
      <c r="F159" s="6">
        <v>1</v>
      </c>
      <c r="G159" s="7">
        <v>499</v>
      </c>
      <c r="H159" s="14">
        <f t="shared" si="7"/>
        <v>499</v>
      </c>
      <c r="I159" s="14" t="str">
        <f t="shared" si="8"/>
        <v>May</v>
      </c>
      <c r="AH159" s="7"/>
      <c r="AI159" s="6"/>
    </row>
    <row r="160" spans="1:35" ht="15" customHeight="1" x14ac:dyDescent="0.35">
      <c r="A160" s="2">
        <v>159</v>
      </c>
      <c r="B160" s="2" t="s">
        <v>263</v>
      </c>
      <c r="C160" s="3" t="s">
        <v>49</v>
      </c>
      <c r="D160" s="3" t="s">
        <v>10</v>
      </c>
      <c r="E160" s="3" t="s">
        <v>264</v>
      </c>
      <c r="F160" s="3">
        <v>1</v>
      </c>
      <c r="G160" s="4">
        <v>275</v>
      </c>
      <c r="H160" s="4">
        <f t="shared" si="7"/>
        <v>275</v>
      </c>
      <c r="I160" s="4" t="str">
        <f t="shared" si="8"/>
        <v>May</v>
      </c>
      <c r="AH160" s="4"/>
      <c r="AI160" s="3"/>
    </row>
    <row r="161" spans="1:35" ht="15" customHeight="1" x14ac:dyDescent="0.35">
      <c r="A161" s="5">
        <v>160</v>
      </c>
      <c r="B161" s="5" t="s">
        <v>265</v>
      </c>
      <c r="C161" s="6" t="s">
        <v>44</v>
      </c>
      <c r="D161" s="6" t="s">
        <v>10</v>
      </c>
      <c r="E161" s="6" t="s">
        <v>264</v>
      </c>
      <c r="F161" s="6">
        <v>3</v>
      </c>
      <c r="G161" s="7">
        <v>175</v>
      </c>
      <c r="H161" s="14">
        <f t="shared" si="7"/>
        <v>525</v>
      </c>
      <c r="I161" s="14" t="str">
        <f t="shared" si="8"/>
        <v>May</v>
      </c>
      <c r="AH161" s="7"/>
      <c r="AI161" s="6"/>
    </row>
    <row r="162" spans="1:35" ht="15" customHeight="1" x14ac:dyDescent="0.35">
      <c r="A162" s="2">
        <v>161</v>
      </c>
      <c r="B162" s="2" t="s">
        <v>265</v>
      </c>
      <c r="C162" s="3" t="s">
        <v>67</v>
      </c>
      <c r="D162" s="3" t="s">
        <v>19</v>
      </c>
      <c r="E162" s="3" t="s">
        <v>264</v>
      </c>
      <c r="F162" s="3">
        <v>1</v>
      </c>
      <c r="G162" s="4">
        <v>199</v>
      </c>
      <c r="H162" s="4">
        <f t="shared" si="7"/>
        <v>199</v>
      </c>
      <c r="I162" s="4" t="str">
        <f t="shared" si="8"/>
        <v>May</v>
      </c>
      <c r="AH162" s="4"/>
      <c r="AI162" s="3"/>
    </row>
    <row r="163" spans="1:35" ht="15" customHeight="1" x14ac:dyDescent="0.35">
      <c r="A163" s="5">
        <v>162</v>
      </c>
      <c r="B163" s="5" t="s">
        <v>265</v>
      </c>
      <c r="C163" s="9" t="s">
        <v>94</v>
      </c>
      <c r="D163" s="6" t="s">
        <v>16</v>
      </c>
      <c r="E163" s="6" t="s">
        <v>264</v>
      </c>
      <c r="F163" s="6">
        <v>1</v>
      </c>
      <c r="G163" s="7">
        <v>75</v>
      </c>
      <c r="H163" s="14">
        <f t="shared" si="7"/>
        <v>75</v>
      </c>
      <c r="I163" s="14" t="str">
        <f t="shared" si="8"/>
        <v>May</v>
      </c>
      <c r="AH163" s="7"/>
      <c r="AI163" s="6"/>
    </row>
    <row r="164" spans="1:35" ht="15" customHeight="1" x14ac:dyDescent="0.35">
      <c r="A164" s="2">
        <v>163</v>
      </c>
      <c r="B164" s="2" t="s">
        <v>266</v>
      </c>
      <c r="C164" s="10" t="s">
        <v>73</v>
      </c>
      <c r="D164" s="3" t="s">
        <v>16</v>
      </c>
      <c r="E164" s="3" t="s">
        <v>267</v>
      </c>
      <c r="F164" s="3">
        <v>1</v>
      </c>
      <c r="G164" s="4">
        <v>249</v>
      </c>
      <c r="H164" s="4">
        <f t="shared" si="7"/>
        <v>249</v>
      </c>
      <c r="I164" s="4" t="str">
        <f t="shared" si="8"/>
        <v>May</v>
      </c>
      <c r="AH164" s="4"/>
      <c r="AI164" s="3"/>
    </row>
    <row r="165" spans="1:35" ht="15" customHeight="1" x14ac:dyDescent="0.35">
      <c r="A165" s="5">
        <v>164</v>
      </c>
      <c r="B165" s="5" t="s">
        <v>266</v>
      </c>
      <c r="C165" s="6" t="s">
        <v>38</v>
      </c>
      <c r="D165" s="6" t="s">
        <v>11</v>
      </c>
      <c r="E165" s="6" t="s">
        <v>267</v>
      </c>
      <c r="F165" s="6">
        <v>1</v>
      </c>
      <c r="G165" s="7">
        <v>299</v>
      </c>
      <c r="H165" s="14">
        <f t="shared" si="7"/>
        <v>299</v>
      </c>
      <c r="I165" s="14" t="str">
        <f t="shared" si="8"/>
        <v>May</v>
      </c>
      <c r="AH165" s="7"/>
      <c r="AI165" s="6"/>
    </row>
    <row r="166" spans="1:35" ht="15" customHeight="1" x14ac:dyDescent="0.35">
      <c r="A166" s="2">
        <v>165</v>
      </c>
      <c r="B166" s="2" t="s">
        <v>266</v>
      </c>
      <c r="C166" s="3" t="s">
        <v>64</v>
      </c>
      <c r="D166" s="3" t="s">
        <v>10</v>
      </c>
      <c r="E166" s="3" t="s">
        <v>267</v>
      </c>
      <c r="F166" s="3">
        <v>1</v>
      </c>
      <c r="G166" s="4">
        <v>225</v>
      </c>
      <c r="H166" s="4">
        <f t="shared" si="7"/>
        <v>225</v>
      </c>
      <c r="I166" s="4" t="str">
        <f t="shared" si="8"/>
        <v>May</v>
      </c>
      <c r="AH166" s="4"/>
      <c r="AI166" s="3"/>
    </row>
    <row r="167" spans="1:35" ht="15" customHeight="1" x14ac:dyDescent="0.35">
      <c r="A167" s="5">
        <v>166</v>
      </c>
      <c r="B167" s="5" t="s">
        <v>268</v>
      </c>
      <c r="C167" s="6" t="s">
        <v>33</v>
      </c>
      <c r="D167" s="6" t="s">
        <v>11</v>
      </c>
      <c r="E167" s="6" t="s">
        <v>267</v>
      </c>
      <c r="F167" s="6">
        <v>1</v>
      </c>
      <c r="G167" s="7">
        <v>375</v>
      </c>
      <c r="H167" s="14">
        <f t="shared" si="7"/>
        <v>375</v>
      </c>
      <c r="I167" s="14" t="str">
        <f t="shared" si="8"/>
        <v>May</v>
      </c>
      <c r="AH167" s="7"/>
      <c r="AI167" s="6"/>
    </row>
    <row r="168" spans="1:35" ht="15" customHeight="1" x14ac:dyDescent="0.35">
      <c r="A168" s="2">
        <v>167</v>
      </c>
      <c r="B168" s="2" t="s">
        <v>268</v>
      </c>
      <c r="C168" s="3" t="s">
        <v>66</v>
      </c>
      <c r="D168" s="3" t="s">
        <v>10</v>
      </c>
      <c r="E168" s="3" t="s">
        <v>267</v>
      </c>
      <c r="F168" s="3">
        <v>1</v>
      </c>
      <c r="G168" s="4">
        <v>199</v>
      </c>
      <c r="H168" s="4">
        <f t="shared" si="7"/>
        <v>199</v>
      </c>
      <c r="I168" s="4" t="str">
        <f t="shared" si="8"/>
        <v>May</v>
      </c>
      <c r="AH168" s="4"/>
      <c r="AI168" s="3"/>
    </row>
    <row r="169" spans="1:35" ht="15" customHeight="1" x14ac:dyDescent="0.35">
      <c r="A169" s="5">
        <v>168</v>
      </c>
      <c r="B169" s="5" t="s">
        <v>269</v>
      </c>
      <c r="C169" s="6" t="s">
        <v>49</v>
      </c>
      <c r="D169" s="6" t="s">
        <v>10</v>
      </c>
      <c r="E169" s="6" t="s">
        <v>270</v>
      </c>
      <c r="F169" s="6">
        <v>2</v>
      </c>
      <c r="G169" s="7">
        <v>275</v>
      </c>
      <c r="H169" s="14">
        <f t="shared" si="7"/>
        <v>550</v>
      </c>
      <c r="I169" s="14" t="str">
        <f t="shared" si="8"/>
        <v>May</v>
      </c>
      <c r="AH169" s="7"/>
      <c r="AI169" s="6"/>
    </row>
    <row r="170" spans="1:35" ht="15" customHeight="1" x14ac:dyDescent="0.35">
      <c r="A170" s="2">
        <v>169</v>
      </c>
      <c r="B170" s="2" t="s">
        <v>271</v>
      </c>
      <c r="C170" s="3" t="s">
        <v>78</v>
      </c>
      <c r="D170" s="3" t="s">
        <v>11</v>
      </c>
      <c r="E170" s="3" t="s">
        <v>270</v>
      </c>
      <c r="F170" s="3">
        <v>1</v>
      </c>
      <c r="G170" s="4">
        <v>199</v>
      </c>
      <c r="H170" s="4">
        <f t="shared" si="7"/>
        <v>199</v>
      </c>
      <c r="I170" s="4" t="str">
        <f t="shared" si="8"/>
        <v>May</v>
      </c>
      <c r="AH170" s="4"/>
      <c r="AI170" s="3"/>
    </row>
    <row r="171" spans="1:35" ht="15" customHeight="1" x14ac:dyDescent="0.35">
      <c r="A171" s="5">
        <v>170</v>
      </c>
      <c r="B171" s="5" t="s">
        <v>271</v>
      </c>
      <c r="C171" s="6" t="s">
        <v>64</v>
      </c>
      <c r="D171" s="6" t="s">
        <v>10</v>
      </c>
      <c r="E171" s="6" t="s">
        <v>270</v>
      </c>
      <c r="F171" s="6">
        <v>1</v>
      </c>
      <c r="G171" s="7">
        <v>225</v>
      </c>
      <c r="H171" s="14">
        <f t="shared" si="7"/>
        <v>225</v>
      </c>
      <c r="I171" s="14" t="str">
        <f t="shared" si="8"/>
        <v>May</v>
      </c>
      <c r="AH171" s="7"/>
      <c r="AI171" s="6"/>
    </row>
    <row r="172" spans="1:35" ht="15" customHeight="1" x14ac:dyDescent="0.35">
      <c r="A172" s="2">
        <v>171</v>
      </c>
      <c r="B172" s="2" t="s">
        <v>271</v>
      </c>
      <c r="C172" s="10" t="s">
        <v>72</v>
      </c>
      <c r="D172" s="3" t="s">
        <v>16</v>
      </c>
      <c r="E172" s="3" t="s">
        <v>270</v>
      </c>
      <c r="F172" s="3">
        <v>1</v>
      </c>
      <c r="G172" s="4">
        <v>249</v>
      </c>
      <c r="H172" s="4">
        <f t="shared" si="7"/>
        <v>249</v>
      </c>
      <c r="I172" s="4" t="str">
        <f t="shared" si="8"/>
        <v>May</v>
      </c>
      <c r="AH172" s="4"/>
      <c r="AI172" s="3"/>
    </row>
    <row r="173" spans="1:35" ht="15" customHeight="1" x14ac:dyDescent="0.35">
      <c r="A173" s="5">
        <v>172</v>
      </c>
      <c r="B173" s="5" t="s">
        <v>272</v>
      </c>
      <c r="C173" s="6" t="s">
        <v>67</v>
      </c>
      <c r="D173" s="6" t="s">
        <v>19</v>
      </c>
      <c r="E173" s="6" t="s">
        <v>273</v>
      </c>
      <c r="F173" s="6">
        <v>1</v>
      </c>
      <c r="G173" s="7">
        <v>199</v>
      </c>
      <c r="H173" s="14">
        <f t="shared" si="7"/>
        <v>199</v>
      </c>
      <c r="I173" s="14" t="str">
        <f t="shared" si="8"/>
        <v>May</v>
      </c>
      <c r="AH173" s="7"/>
      <c r="AI173" s="6"/>
    </row>
    <row r="174" spans="1:35" ht="15" customHeight="1" x14ac:dyDescent="0.35">
      <c r="A174" s="2">
        <v>173</v>
      </c>
      <c r="B174" s="2" t="s">
        <v>272</v>
      </c>
      <c r="C174" s="3" t="s">
        <v>44</v>
      </c>
      <c r="D174" s="3" t="s">
        <v>10</v>
      </c>
      <c r="E174" s="3" t="s">
        <v>273</v>
      </c>
      <c r="F174" s="3">
        <v>2</v>
      </c>
      <c r="G174" s="4">
        <v>175</v>
      </c>
      <c r="H174" s="4">
        <f t="shared" si="7"/>
        <v>350</v>
      </c>
      <c r="I174" s="4" t="str">
        <f t="shared" si="8"/>
        <v>May</v>
      </c>
      <c r="AH174" s="4"/>
      <c r="AI174" s="3"/>
    </row>
    <row r="175" spans="1:35" ht="15" customHeight="1" x14ac:dyDescent="0.35">
      <c r="A175" s="5">
        <v>174</v>
      </c>
      <c r="B175" s="5" t="s">
        <v>274</v>
      </c>
      <c r="C175" s="9" t="s">
        <v>73</v>
      </c>
      <c r="D175" s="6" t="s">
        <v>16</v>
      </c>
      <c r="E175" s="6" t="s">
        <v>273</v>
      </c>
      <c r="F175" s="6">
        <v>1</v>
      </c>
      <c r="G175" s="7">
        <v>249</v>
      </c>
      <c r="H175" s="14">
        <f t="shared" si="7"/>
        <v>249</v>
      </c>
      <c r="I175" s="14" t="str">
        <f t="shared" si="8"/>
        <v>May</v>
      </c>
      <c r="AH175" s="7"/>
      <c r="AI175" s="6"/>
    </row>
    <row r="176" spans="1:35" ht="15" customHeight="1" x14ac:dyDescent="0.35">
      <c r="A176" s="2">
        <v>175</v>
      </c>
      <c r="B176" s="2" t="s">
        <v>275</v>
      </c>
      <c r="C176" s="3" t="s">
        <v>31</v>
      </c>
      <c r="D176" s="3" t="s">
        <v>11</v>
      </c>
      <c r="E176" s="3" t="s">
        <v>276</v>
      </c>
      <c r="F176" s="3">
        <v>1</v>
      </c>
      <c r="G176" s="4">
        <v>399</v>
      </c>
      <c r="H176" s="4">
        <f t="shared" si="7"/>
        <v>399</v>
      </c>
      <c r="I176" s="4" t="str">
        <f t="shared" si="8"/>
        <v>May</v>
      </c>
      <c r="AH176" s="4"/>
      <c r="AI176" s="3"/>
    </row>
    <row r="177" spans="1:35" ht="15" customHeight="1" x14ac:dyDescent="0.35">
      <c r="A177" s="5">
        <v>176</v>
      </c>
      <c r="B177" s="5" t="s">
        <v>275</v>
      </c>
      <c r="C177" s="6" t="s">
        <v>13</v>
      </c>
      <c r="D177" s="6" t="s">
        <v>10</v>
      </c>
      <c r="E177" s="6" t="s">
        <v>276</v>
      </c>
      <c r="F177" s="6">
        <v>1</v>
      </c>
      <c r="G177" s="7">
        <v>499</v>
      </c>
      <c r="H177" s="14">
        <f t="shared" si="7"/>
        <v>499</v>
      </c>
      <c r="I177" s="14" t="str">
        <f t="shared" si="8"/>
        <v>May</v>
      </c>
      <c r="AH177" s="7"/>
      <c r="AI177" s="6"/>
    </row>
    <row r="178" spans="1:35" ht="15" customHeight="1" x14ac:dyDescent="0.35">
      <c r="A178" s="2">
        <v>177</v>
      </c>
      <c r="B178" s="2" t="s">
        <v>275</v>
      </c>
      <c r="C178" s="10" t="s">
        <v>94</v>
      </c>
      <c r="D178" s="3" t="s">
        <v>16</v>
      </c>
      <c r="E178" s="3" t="s">
        <v>276</v>
      </c>
      <c r="F178" s="3">
        <v>1</v>
      </c>
      <c r="G178" s="4">
        <v>75</v>
      </c>
      <c r="H178" s="4">
        <f t="shared" si="7"/>
        <v>75</v>
      </c>
      <c r="I178" s="4" t="str">
        <f t="shared" si="8"/>
        <v>May</v>
      </c>
      <c r="AH178" s="4"/>
      <c r="AI178" s="3"/>
    </row>
    <row r="179" spans="1:35" ht="15" customHeight="1" x14ac:dyDescent="0.35">
      <c r="A179" s="5">
        <v>178</v>
      </c>
      <c r="B179" s="5" t="s">
        <v>277</v>
      </c>
      <c r="C179" s="6" t="s">
        <v>46</v>
      </c>
      <c r="D179" s="6" t="s">
        <v>11</v>
      </c>
      <c r="E179" s="6" t="s">
        <v>276</v>
      </c>
      <c r="F179" s="6">
        <v>1</v>
      </c>
      <c r="G179" s="7">
        <v>275</v>
      </c>
      <c r="H179" s="14">
        <f t="shared" si="7"/>
        <v>275</v>
      </c>
      <c r="I179" s="14" t="str">
        <f t="shared" si="8"/>
        <v>May</v>
      </c>
      <c r="AH179" s="7"/>
      <c r="AI179" s="6"/>
    </row>
    <row r="180" spans="1:35" ht="15" customHeight="1" x14ac:dyDescent="0.35">
      <c r="A180" s="2">
        <v>179</v>
      </c>
      <c r="B180" s="2" t="s">
        <v>277</v>
      </c>
      <c r="C180" s="3" t="s">
        <v>43</v>
      </c>
      <c r="D180" s="3" t="s">
        <v>10</v>
      </c>
      <c r="E180" s="3" t="s">
        <v>276</v>
      </c>
      <c r="F180" s="3">
        <v>1</v>
      </c>
      <c r="G180" s="4">
        <v>175</v>
      </c>
      <c r="H180" s="4">
        <f t="shared" si="7"/>
        <v>175</v>
      </c>
      <c r="I180" s="4" t="str">
        <f t="shared" si="8"/>
        <v>May</v>
      </c>
      <c r="AH180" s="4"/>
      <c r="AI180" s="3"/>
    </row>
    <row r="181" spans="1:35" ht="15" customHeight="1" x14ac:dyDescent="0.35">
      <c r="A181" s="5">
        <v>180</v>
      </c>
      <c r="B181" s="5" t="s">
        <v>278</v>
      </c>
      <c r="C181" s="9" t="s">
        <v>75</v>
      </c>
      <c r="D181" s="6" t="s">
        <v>16</v>
      </c>
      <c r="E181" s="6" t="s">
        <v>279</v>
      </c>
      <c r="F181" s="6">
        <v>2</v>
      </c>
      <c r="G181" s="7">
        <v>150</v>
      </c>
      <c r="H181" s="14">
        <f t="shared" si="7"/>
        <v>300</v>
      </c>
      <c r="I181" s="14" t="str">
        <f t="shared" si="8"/>
        <v>May</v>
      </c>
      <c r="AH181" s="7"/>
      <c r="AI181" s="6"/>
    </row>
    <row r="182" spans="1:35" ht="15" customHeight="1" x14ac:dyDescent="0.35">
      <c r="A182" s="2">
        <v>181</v>
      </c>
      <c r="B182" s="2" t="s">
        <v>280</v>
      </c>
      <c r="C182" s="3" t="s">
        <v>39</v>
      </c>
      <c r="D182" s="3" t="s">
        <v>11</v>
      </c>
      <c r="E182" s="3" t="s">
        <v>279</v>
      </c>
      <c r="F182" s="3">
        <v>1</v>
      </c>
      <c r="G182" s="4">
        <v>299</v>
      </c>
      <c r="H182" s="4">
        <f t="shared" si="7"/>
        <v>299</v>
      </c>
      <c r="I182" s="4" t="str">
        <f t="shared" si="8"/>
        <v>May</v>
      </c>
      <c r="AH182" s="4"/>
      <c r="AI182" s="3"/>
    </row>
    <row r="183" spans="1:35" ht="15" customHeight="1" x14ac:dyDescent="0.35">
      <c r="A183" s="5">
        <v>182</v>
      </c>
      <c r="B183" s="5" t="s">
        <v>280</v>
      </c>
      <c r="C183" s="6" t="s">
        <v>66</v>
      </c>
      <c r="D183" s="6" t="s">
        <v>10</v>
      </c>
      <c r="E183" s="6" t="s">
        <v>279</v>
      </c>
      <c r="F183" s="6">
        <v>1</v>
      </c>
      <c r="G183" s="7">
        <v>199</v>
      </c>
      <c r="H183" s="14">
        <f t="shared" si="7"/>
        <v>199</v>
      </c>
      <c r="I183" s="14" t="str">
        <f t="shared" si="8"/>
        <v>May</v>
      </c>
      <c r="AH183" s="7"/>
      <c r="AI183" s="6"/>
    </row>
    <row r="184" spans="1:35" ht="15" customHeight="1" x14ac:dyDescent="0.35">
      <c r="A184" s="2">
        <v>183</v>
      </c>
      <c r="B184" s="2" t="s">
        <v>280</v>
      </c>
      <c r="C184" s="3" t="s">
        <v>67</v>
      </c>
      <c r="D184" s="3" t="s">
        <v>19</v>
      </c>
      <c r="E184" s="3" t="s">
        <v>279</v>
      </c>
      <c r="F184" s="3">
        <v>1</v>
      </c>
      <c r="G184" s="4">
        <v>199</v>
      </c>
      <c r="H184" s="4">
        <f t="shared" si="7"/>
        <v>199</v>
      </c>
      <c r="I184" s="4" t="str">
        <f t="shared" si="8"/>
        <v>May</v>
      </c>
      <c r="AH184" s="4"/>
      <c r="AI184" s="3"/>
    </row>
    <row r="185" spans="1:35" ht="15" customHeight="1" x14ac:dyDescent="0.35">
      <c r="A185" s="5">
        <v>184</v>
      </c>
      <c r="B185" s="5" t="s">
        <v>281</v>
      </c>
      <c r="C185" s="6" t="s">
        <v>64</v>
      </c>
      <c r="D185" s="6" t="s">
        <v>10</v>
      </c>
      <c r="E185" s="6" t="s">
        <v>282</v>
      </c>
      <c r="F185" s="6">
        <v>1</v>
      </c>
      <c r="G185" s="7">
        <v>225</v>
      </c>
      <c r="H185" s="14">
        <f t="shared" si="7"/>
        <v>225</v>
      </c>
      <c r="I185" s="14" t="str">
        <f t="shared" si="8"/>
        <v>May</v>
      </c>
      <c r="AH185" s="7"/>
      <c r="AI185" s="6"/>
    </row>
    <row r="186" spans="1:35" ht="15" customHeight="1" x14ac:dyDescent="0.35">
      <c r="A186" s="2">
        <v>185</v>
      </c>
      <c r="B186" s="2" t="s">
        <v>281</v>
      </c>
      <c r="C186" s="3" t="s">
        <v>33</v>
      </c>
      <c r="D186" s="3" t="s">
        <v>11</v>
      </c>
      <c r="E186" s="3" t="s">
        <v>282</v>
      </c>
      <c r="F186" s="3">
        <v>1</v>
      </c>
      <c r="G186" s="4">
        <v>375</v>
      </c>
      <c r="H186" s="4">
        <f t="shared" si="7"/>
        <v>375</v>
      </c>
      <c r="I186" s="4" t="str">
        <f t="shared" si="8"/>
        <v>May</v>
      </c>
      <c r="AH186" s="4"/>
      <c r="AI186" s="3"/>
    </row>
    <row r="187" spans="1:35" ht="15" customHeight="1" x14ac:dyDescent="0.35">
      <c r="A187" s="5">
        <v>186</v>
      </c>
      <c r="B187" s="5" t="s">
        <v>283</v>
      </c>
      <c r="C187" s="6" t="s">
        <v>25</v>
      </c>
      <c r="D187" s="6" t="s">
        <v>11</v>
      </c>
      <c r="E187" s="6" t="s">
        <v>282</v>
      </c>
      <c r="F187" s="6">
        <v>1</v>
      </c>
      <c r="G187" s="7">
        <v>249</v>
      </c>
      <c r="H187" s="14">
        <f t="shared" si="7"/>
        <v>249</v>
      </c>
      <c r="I187" s="14" t="str">
        <f t="shared" si="8"/>
        <v>May</v>
      </c>
      <c r="AH187" s="7"/>
      <c r="AI187" s="6"/>
    </row>
    <row r="188" spans="1:35" ht="15" customHeight="1" x14ac:dyDescent="0.35">
      <c r="A188" s="2">
        <v>187</v>
      </c>
      <c r="B188" s="2" t="s">
        <v>283</v>
      </c>
      <c r="C188" s="3" t="s">
        <v>32</v>
      </c>
      <c r="D188" s="3" t="s">
        <v>11</v>
      </c>
      <c r="E188" s="3" t="s">
        <v>282</v>
      </c>
      <c r="F188" s="3">
        <v>1</v>
      </c>
      <c r="G188" s="4">
        <v>299</v>
      </c>
      <c r="H188" s="4">
        <f t="shared" si="7"/>
        <v>299</v>
      </c>
      <c r="I188" s="4" t="str">
        <f t="shared" si="8"/>
        <v>May</v>
      </c>
      <c r="AH188" s="4"/>
      <c r="AI188" s="3"/>
    </row>
    <row r="189" spans="1:35" ht="15" customHeight="1" x14ac:dyDescent="0.35">
      <c r="A189" s="5">
        <v>188</v>
      </c>
      <c r="B189" s="5" t="s">
        <v>284</v>
      </c>
      <c r="C189" s="6" t="s">
        <v>95</v>
      </c>
      <c r="D189" s="6" t="s">
        <v>16</v>
      </c>
      <c r="E189" s="6" t="s">
        <v>285</v>
      </c>
      <c r="F189" s="6">
        <v>1</v>
      </c>
      <c r="G189" s="7">
        <v>149</v>
      </c>
      <c r="H189" s="14">
        <f t="shared" si="7"/>
        <v>149</v>
      </c>
      <c r="I189" s="14" t="str">
        <f t="shared" si="8"/>
        <v>May</v>
      </c>
      <c r="AH189" s="7"/>
      <c r="AI189" s="6"/>
    </row>
    <row r="190" spans="1:35" ht="15" customHeight="1" x14ac:dyDescent="0.35">
      <c r="A190" s="2">
        <v>189</v>
      </c>
      <c r="B190" s="2" t="s">
        <v>284</v>
      </c>
      <c r="C190" s="3" t="s">
        <v>88</v>
      </c>
      <c r="D190" s="3" t="s">
        <v>10</v>
      </c>
      <c r="E190" s="3" t="s">
        <v>285</v>
      </c>
      <c r="F190" s="3">
        <v>1</v>
      </c>
      <c r="G190" s="4">
        <v>299</v>
      </c>
      <c r="H190" s="4">
        <f t="shared" si="7"/>
        <v>299</v>
      </c>
      <c r="I190" s="4" t="str">
        <f t="shared" si="8"/>
        <v>May</v>
      </c>
      <c r="AH190" s="4"/>
      <c r="AI190" s="3"/>
    </row>
    <row r="191" spans="1:35" ht="15" customHeight="1" x14ac:dyDescent="0.35">
      <c r="A191" s="5">
        <v>190</v>
      </c>
      <c r="B191" s="5" t="s">
        <v>284</v>
      </c>
      <c r="C191" s="6" t="s">
        <v>31</v>
      </c>
      <c r="D191" s="6" t="s">
        <v>11</v>
      </c>
      <c r="E191" s="6" t="s">
        <v>285</v>
      </c>
      <c r="F191" s="6">
        <v>1</v>
      </c>
      <c r="G191" s="7">
        <v>399</v>
      </c>
      <c r="H191" s="14">
        <f t="shared" si="7"/>
        <v>399</v>
      </c>
      <c r="I191" s="14" t="str">
        <f t="shared" si="8"/>
        <v>May</v>
      </c>
      <c r="AH191" s="7"/>
      <c r="AI191" s="6"/>
    </row>
    <row r="192" spans="1:35" ht="15" customHeight="1" x14ac:dyDescent="0.35">
      <c r="A192" s="2">
        <v>191</v>
      </c>
      <c r="B192" s="2" t="s">
        <v>286</v>
      </c>
      <c r="C192" s="3" t="s">
        <v>74</v>
      </c>
      <c r="D192" s="3" t="s">
        <v>11</v>
      </c>
      <c r="E192" s="3" t="s">
        <v>287</v>
      </c>
      <c r="F192" s="3">
        <v>1</v>
      </c>
      <c r="G192" s="4">
        <v>475</v>
      </c>
      <c r="H192" s="4">
        <f t="shared" si="7"/>
        <v>475</v>
      </c>
      <c r="I192" s="4" t="str">
        <f t="shared" si="8"/>
        <v>May</v>
      </c>
      <c r="AH192" s="4"/>
      <c r="AI192" s="3"/>
    </row>
    <row r="193" spans="1:35" ht="15" customHeight="1" x14ac:dyDescent="0.35">
      <c r="A193" s="5">
        <v>192</v>
      </c>
      <c r="B193" s="5" t="s">
        <v>286</v>
      </c>
      <c r="C193" s="6" t="s">
        <v>36</v>
      </c>
      <c r="D193" s="6" t="s">
        <v>11</v>
      </c>
      <c r="E193" s="6" t="s">
        <v>287</v>
      </c>
      <c r="F193" s="6">
        <v>1</v>
      </c>
      <c r="G193" s="7">
        <v>349</v>
      </c>
      <c r="H193" s="14">
        <f t="shared" si="7"/>
        <v>349</v>
      </c>
      <c r="I193" s="14" t="str">
        <f t="shared" si="8"/>
        <v>May</v>
      </c>
      <c r="AH193" s="7"/>
      <c r="AI193" s="6"/>
    </row>
    <row r="194" spans="1:35" ht="15" customHeight="1" x14ac:dyDescent="0.35">
      <c r="A194" s="2">
        <v>193</v>
      </c>
      <c r="B194" s="2" t="s">
        <v>288</v>
      </c>
      <c r="C194" s="3" t="s">
        <v>53</v>
      </c>
      <c r="D194" s="3" t="s">
        <v>10</v>
      </c>
      <c r="E194" s="3" t="s">
        <v>289</v>
      </c>
      <c r="F194" s="3">
        <v>1</v>
      </c>
      <c r="G194" s="4">
        <v>199</v>
      </c>
      <c r="H194" s="4">
        <f t="shared" ref="H194:H205" si="9">F194*G194</f>
        <v>199</v>
      </c>
      <c r="I194" s="4" t="str">
        <f t="shared" ref="I194:I205" si="10">TEXT(DATE(RIGHT(E194,4),MID(E194,4,2),LEFT(E194,2)),"MMM")</f>
        <v>May</v>
      </c>
      <c r="AH194" s="4"/>
      <c r="AI194" s="3"/>
    </row>
    <row r="195" spans="1:35" ht="15" customHeight="1" x14ac:dyDescent="0.35">
      <c r="A195" s="5">
        <v>194</v>
      </c>
      <c r="B195" s="5" t="s">
        <v>288</v>
      </c>
      <c r="C195" s="6" t="s">
        <v>76</v>
      </c>
      <c r="D195" s="6" t="s">
        <v>11</v>
      </c>
      <c r="E195" s="6" t="s">
        <v>289</v>
      </c>
      <c r="F195" s="6">
        <v>1</v>
      </c>
      <c r="G195" s="7">
        <v>215</v>
      </c>
      <c r="H195" s="14">
        <f t="shared" si="9"/>
        <v>215</v>
      </c>
      <c r="I195" s="14" t="str">
        <f t="shared" si="10"/>
        <v>May</v>
      </c>
      <c r="AH195" s="7"/>
      <c r="AI195" s="6"/>
    </row>
    <row r="196" spans="1:35" ht="15" customHeight="1" x14ac:dyDescent="0.35">
      <c r="A196" s="2">
        <v>195</v>
      </c>
      <c r="B196" s="2" t="s">
        <v>288</v>
      </c>
      <c r="C196" s="10" t="s">
        <v>68</v>
      </c>
      <c r="D196" s="3" t="s">
        <v>16</v>
      </c>
      <c r="E196" s="3" t="s">
        <v>289</v>
      </c>
      <c r="F196" s="3">
        <v>1</v>
      </c>
      <c r="G196" s="4">
        <v>149</v>
      </c>
      <c r="H196" s="4">
        <f t="shared" si="9"/>
        <v>149</v>
      </c>
      <c r="I196" s="4" t="str">
        <f t="shared" si="10"/>
        <v>May</v>
      </c>
      <c r="AH196" s="4"/>
      <c r="AI196" s="3"/>
    </row>
    <row r="197" spans="1:35" ht="15" customHeight="1" x14ac:dyDescent="0.35">
      <c r="A197" s="5">
        <v>196</v>
      </c>
      <c r="B197" s="5" t="s">
        <v>290</v>
      </c>
      <c r="C197" s="6" t="s">
        <v>54</v>
      </c>
      <c r="D197" s="6" t="s">
        <v>19</v>
      </c>
      <c r="E197" s="6" t="s">
        <v>291</v>
      </c>
      <c r="F197" s="6">
        <v>2</v>
      </c>
      <c r="G197" s="7">
        <v>199</v>
      </c>
      <c r="H197" s="14">
        <f t="shared" si="9"/>
        <v>398</v>
      </c>
      <c r="I197" s="14" t="str">
        <f t="shared" si="10"/>
        <v>May</v>
      </c>
      <c r="AH197" s="7"/>
      <c r="AI197" s="6"/>
    </row>
    <row r="198" spans="1:35" ht="15" customHeight="1" x14ac:dyDescent="0.35">
      <c r="A198" s="2">
        <v>197</v>
      </c>
      <c r="B198" s="2" t="s">
        <v>292</v>
      </c>
      <c r="C198" s="3" t="s">
        <v>25</v>
      </c>
      <c r="D198" s="3" t="s">
        <v>11</v>
      </c>
      <c r="E198" s="3" t="s">
        <v>293</v>
      </c>
      <c r="F198" s="3">
        <v>1</v>
      </c>
      <c r="G198" s="4">
        <v>249</v>
      </c>
      <c r="H198" s="4">
        <f t="shared" si="9"/>
        <v>249</v>
      </c>
      <c r="I198" s="4" t="str">
        <f t="shared" si="10"/>
        <v>May</v>
      </c>
      <c r="AH198" s="4"/>
      <c r="AI198" s="3"/>
    </row>
    <row r="199" spans="1:35" ht="23.9" customHeight="1" x14ac:dyDescent="0.35">
      <c r="A199" s="5">
        <v>198</v>
      </c>
      <c r="B199" s="5" t="s">
        <v>294</v>
      </c>
      <c r="C199" s="9" t="s">
        <v>296</v>
      </c>
      <c r="D199" s="6" t="s">
        <v>16</v>
      </c>
      <c r="E199" s="6" t="s">
        <v>295</v>
      </c>
      <c r="F199" s="6">
        <v>1</v>
      </c>
      <c r="G199" s="7">
        <v>249</v>
      </c>
      <c r="H199" s="14">
        <f t="shared" si="9"/>
        <v>249</v>
      </c>
      <c r="I199" s="14" t="str">
        <f t="shared" si="10"/>
        <v>May</v>
      </c>
      <c r="AH199" s="7"/>
      <c r="AI199" s="6"/>
    </row>
    <row r="200" spans="1:35" ht="15" customHeight="1" x14ac:dyDescent="0.35">
      <c r="A200" s="2">
        <v>199</v>
      </c>
      <c r="B200" s="2" t="s">
        <v>294</v>
      </c>
      <c r="C200" s="10" t="s">
        <v>91</v>
      </c>
      <c r="D200" s="3" t="s">
        <v>16</v>
      </c>
      <c r="E200" s="3" t="s">
        <v>295</v>
      </c>
      <c r="F200" s="3">
        <v>1</v>
      </c>
      <c r="G200" s="4">
        <v>249</v>
      </c>
      <c r="H200" s="4">
        <f t="shared" si="9"/>
        <v>249</v>
      </c>
      <c r="I200" s="4" t="str">
        <f t="shared" si="10"/>
        <v>May</v>
      </c>
      <c r="AH200" s="4"/>
      <c r="AI200" s="3"/>
    </row>
    <row r="201" spans="1:35" ht="15" customHeight="1" x14ac:dyDescent="0.35">
      <c r="A201" s="5">
        <v>200</v>
      </c>
      <c r="B201" s="5" t="s">
        <v>294</v>
      </c>
      <c r="C201" s="6" t="s">
        <v>87</v>
      </c>
      <c r="D201" s="6" t="s">
        <v>11</v>
      </c>
      <c r="E201" s="6" t="s">
        <v>295</v>
      </c>
      <c r="F201" s="6">
        <v>1</v>
      </c>
      <c r="G201" s="7">
        <v>349</v>
      </c>
      <c r="H201" s="14">
        <f t="shared" si="9"/>
        <v>349</v>
      </c>
      <c r="I201" s="14" t="str">
        <f t="shared" si="10"/>
        <v>May</v>
      </c>
      <c r="AH201" s="7"/>
      <c r="AI201" s="6"/>
    </row>
    <row r="202" spans="1:35" ht="15" customHeight="1" x14ac:dyDescent="0.35">
      <c r="A202" s="2">
        <v>201</v>
      </c>
      <c r="B202" s="2" t="s">
        <v>297</v>
      </c>
      <c r="C202" s="3" t="s">
        <v>18</v>
      </c>
      <c r="D202" s="3" t="s">
        <v>11</v>
      </c>
      <c r="E202" s="3" t="s">
        <v>298</v>
      </c>
      <c r="F202" s="3">
        <v>2</v>
      </c>
      <c r="G202" s="4">
        <v>349</v>
      </c>
      <c r="H202" s="4">
        <f t="shared" si="9"/>
        <v>698</v>
      </c>
      <c r="I202" s="4" t="str">
        <f t="shared" si="10"/>
        <v>May</v>
      </c>
      <c r="AH202" s="4"/>
      <c r="AI202" s="3"/>
    </row>
    <row r="203" spans="1:35" ht="15" customHeight="1" x14ac:dyDescent="0.35">
      <c r="A203" s="5">
        <v>202</v>
      </c>
      <c r="B203" s="5" t="s">
        <v>297</v>
      </c>
      <c r="C203" s="6" t="s">
        <v>58</v>
      </c>
      <c r="D203" s="6" t="s">
        <v>11</v>
      </c>
      <c r="E203" s="6" t="s">
        <v>298</v>
      </c>
      <c r="F203" s="6">
        <v>1</v>
      </c>
      <c r="G203" s="7">
        <v>249</v>
      </c>
      <c r="H203" s="14">
        <f t="shared" si="9"/>
        <v>249</v>
      </c>
      <c r="I203" s="14" t="str">
        <f t="shared" si="10"/>
        <v>May</v>
      </c>
      <c r="AH203" s="7"/>
      <c r="AI203" s="6"/>
    </row>
    <row r="204" spans="1:35" ht="15" customHeight="1" x14ac:dyDescent="0.35">
      <c r="A204" s="2">
        <v>203</v>
      </c>
      <c r="B204" s="2" t="s">
        <v>299</v>
      </c>
      <c r="C204" s="3" t="s">
        <v>46</v>
      </c>
      <c r="D204" s="3" t="s">
        <v>11</v>
      </c>
      <c r="E204" s="3" t="s">
        <v>300</v>
      </c>
      <c r="F204" s="3">
        <v>1</v>
      </c>
      <c r="G204" s="4">
        <v>275</v>
      </c>
      <c r="H204" s="4">
        <f t="shared" si="9"/>
        <v>275</v>
      </c>
      <c r="I204" s="4" t="str">
        <f t="shared" si="10"/>
        <v>May</v>
      </c>
      <c r="AH204" s="4"/>
      <c r="AI204" s="3"/>
    </row>
    <row r="205" spans="1:35" ht="15" customHeight="1" x14ac:dyDescent="0.35">
      <c r="A205" s="5">
        <v>204</v>
      </c>
      <c r="B205" s="5" t="s">
        <v>301</v>
      </c>
      <c r="C205" s="6" t="s">
        <v>89</v>
      </c>
      <c r="D205" s="6" t="s">
        <v>10</v>
      </c>
      <c r="E205" s="6" t="s">
        <v>302</v>
      </c>
      <c r="F205" s="6">
        <v>1</v>
      </c>
      <c r="G205" s="7">
        <v>299</v>
      </c>
      <c r="H205" s="14">
        <f t="shared" si="9"/>
        <v>299</v>
      </c>
      <c r="I205" s="14" t="str">
        <f t="shared" si="10"/>
        <v>May</v>
      </c>
      <c r="AH205" s="7"/>
      <c r="AI205" s="6"/>
    </row>
  </sheetData>
  <pageMargins left="0.75" right="0.75" top="1" bottom="1" header="0.511811023622047" footer="0.511811023622047"/>
  <pageSetup paperSize="9" orientation="portrait" horizontalDpi="300" verticalDpi="300"/>
  <drawing r:id="rId6"/>
  <tableParts count="4">
    <tablePart r:id="rId7"/>
    <tablePart r:id="rId8"/>
    <tablePart r:id="rId9"/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6"/>
  <sheetViews>
    <sheetView showGridLines="0" topLeftCell="D1" zoomScale="57" zoomScaleNormal="57" workbookViewId="0">
      <selection activeCell="V28" sqref="V28"/>
    </sheetView>
  </sheetViews>
  <sheetFormatPr defaultColWidth="8.6328125" defaultRowHeight="14.5" x14ac:dyDescent="0.35"/>
  <cols>
    <col min="1" max="1" width="5" customWidth="1"/>
    <col min="2" max="2" width="46" customWidth="1"/>
    <col min="3" max="3" width="13" customWidth="1"/>
    <col min="4" max="4" width="15" customWidth="1"/>
    <col min="5" max="8" width="14" customWidth="1"/>
    <col min="9" max="9" width="27.1796875" customWidth="1"/>
    <col min="10" max="10" width="13.08984375" customWidth="1"/>
    <col min="11" max="11" width="15.90625" customWidth="1"/>
    <col min="12" max="12" width="24.7265625" customWidth="1"/>
    <col min="15" max="15" width="33.90625" customWidth="1"/>
    <col min="16" max="16" width="8.90625" bestFit="1" customWidth="1"/>
    <col min="17" max="17" width="25" style="37" customWidth="1"/>
    <col min="18" max="19" width="8.6328125" customWidth="1"/>
  </cols>
  <sheetData>
    <row r="1" spans="1:18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8" t="s">
        <v>7</v>
      </c>
      <c r="I1" s="1" t="s">
        <v>483</v>
      </c>
      <c r="J1" s="1" t="s">
        <v>2</v>
      </c>
      <c r="K1" s="8" t="s">
        <v>6</v>
      </c>
      <c r="L1" s="8" t="s">
        <v>7</v>
      </c>
      <c r="O1" s="15" t="s">
        <v>8</v>
      </c>
      <c r="P1" s="16"/>
    </row>
    <row r="2" spans="1:18" ht="15" customHeight="1" x14ac:dyDescent="0.35">
      <c r="A2" s="5">
        <v>1</v>
      </c>
      <c r="B2" s="6" t="s">
        <v>9</v>
      </c>
      <c r="C2" s="6" t="s">
        <v>10</v>
      </c>
      <c r="D2" s="6">
        <v>11</v>
      </c>
      <c r="E2" s="7">
        <v>175</v>
      </c>
      <c r="F2" s="6">
        <v>0</v>
      </c>
      <c r="G2" s="3">
        <f t="shared" ref="G2:G33" si="0">D2*E2</f>
        <v>1925</v>
      </c>
      <c r="H2" s="3">
        <f>G2/SUM(G$2:G$76)</f>
        <v>3.5516605166051658E-2</v>
      </c>
      <c r="I2" s="36" t="s">
        <v>484</v>
      </c>
      <c r="J2" s="9" t="s">
        <v>11</v>
      </c>
      <c r="K2" s="3">
        <f>SUMIF($C$2:$C$76,"Bracelets",$G$2:$G$76)</f>
        <v>21850</v>
      </c>
      <c r="L2" s="6">
        <f>(K2/SUM(K$2:K$5))</f>
        <v>0.40313653136531363</v>
      </c>
      <c r="O2" s="17" t="s">
        <v>12</v>
      </c>
      <c r="P2" s="18">
        <f>MAX(E2:E76)</f>
        <v>550</v>
      </c>
    </row>
    <row r="3" spans="1:18" ht="15" customHeight="1" x14ac:dyDescent="0.35">
      <c r="A3" s="5">
        <v>2</v>
      </c>
      <c r="B3" s="6" t="s">
        <v>13</v>
      </c>
      <c r="C3" s="6" t="s">
        <v>10</v>
      </c>
      <c r="D3" s="6">
        <v>3</v>
      </c>
      <c r="E3" s="7">
        <v>499</v>
      </c>
      <c r="F3" s="6">
        <v>0</v>
      </c>
      <c r="G3" s="3">
        <f t="shared" si="0"/>
        <v>1497</v>
      </c>
      <c r="H3" s="3">
        <f t="shared" ref="H3:H34" si="1">H2+(G3/SUM(G$2:G$76))</f>
        <v>6.313653136531365E-2</v>
      </c>
      <c r="I3" s="36" t="s">
        <v>485</v>
      </c>
      <c r="J3" s="9" t="s">
        <v>10</v>
      </c>
      <c r="K3" s="3">
        <f>SUMIF($C$2:$C$76,"Earrings",$G$2:$G$76)</f>
        <v>20343</v>
      </c>
      <c r="L3" s="6">
        <f>L2+(K3/SUM(K$2:K$5))</f>
        <v>0.77846863468634686</v>
      </c>
      <c r="O3" s="17" t="s">
        <v>14</v>
      </c>
      <c r="P3" s="18">
        <f>MIN(E2:E76)</f>
        <v>50</v>
      </c>
    </row>
    <row r="4" spans="1:18" ht="15" customHeight="1" x14ac:dyDescent="0.35">
      <c r="A4" s="5">
        <v>3</v>
      </c>
      <c r="B4" s="3" t="s">
        <v>15</v>
      </c>
      <c r="C4" s="3" t="s">
        <v>11</v>
      </c>
      <c r="D4" s="3">
        <v>4</v>
      </c>
      <c r="E4" s="4">
        <v>349</v>
      </c>
      <c r="F4" s="3">
        <v>1</v>
      </c>
      <c r="G4" s="3">
        <f t="shared" si="0"/>
        <v>1396</v>
      </c>
      <c r="H4" s="3">
        <f t="shared" si="1"/>
        <v>8.8892988929889297E-2</v>
      </c>
      <c r="I4" s="36" t="s">
        <v>484</v>
      </c>
      <c r="J4" s="9" t="s">
        <v>16</v>
      </c>
      <c r="K4" s="3">
        <f>SUMIF($C$2:$C$76,"Rings",$G$2:$G$76)</f>
        <v>7793</v>
      </c>
      <c r="L4" s="6">
        <f>L3+(K4/SUM(K$2:K$5))</f>
        <v>0.92225092250922502</v>
      </c>
      <c r="O4" s="17" t="s">
        <v>17</v>
      </c>
      <c r="P4" s="18">
        <f>AVERAGE(E2:E76)</f>
        <v>251.34666666666666</v>
      </c>
    </row>
    <row r="5" spans="1:18" ht="15" customHeight="1" x14ac:dyDescent="0.35">
      <c r="A5" s="5">
        <v>4</v>
      </c>
      <c r="B5" s="6" t="s">
        <v>18</v>
      </c>
      <c r="C5" s="6" t="s">
        <v>11</v>
      </c>
      <c r="D5" s="6">
        <v>4</v>
      </c>
      <c r="E5" s="7">
        <v>349</v>
      </c>
      <c r="F5" s="6">
        <v>0</v>
      </c>
      <c r="G5" s="3">
        <f t="shared" si="0"/>
        <v>1396</v>
      </c>
      <c r="H5" s="3">
        <f t="shared" si="1"/>
        <v>0.11464944649446494</v>
      </c>
      <c r="I5" s="36" t="s">
        <v>484</v>
      </c>
      <c r="J5" s="9" t="s">
        <v>19</v>
      </c>
      <c r="K5" s="3">
        <f>SUMIF($C$2:$C$76,"Neckpieces",$G$2:$G$76)</f>
        <v>4214</v>
      </c>
      <c r="L5" s="6">
        <f>L4+(K5/SUM(K$2:K$5))</f>
        <v>0.99999999999999989</v>
      </c>
      <c r="O5" s="17" t="s">
        <v>20</v>
      </c>
      <c r="P5" s="18">
        <f>MAX(G2:G76)</f>
        <v>1925</v>
      </c>
    </row>
    <row r="6" spans="1:18" ht="15" customHeight="1" x14ac:dyDescent="0.35">
      <c r="A6" s="5">
        <v>5</v>
      </c>
      <c r="B6" s="3" t="s">
        <v>21</v>
      </c>
      <c r="C6" s="3" t="s">
        <v>16</v>
      </c>
      <c r="D6" s="3">
        <v>7</v>
      </c>
      <c r="E6" s="4">
        <v>199</v>
      </c>
      <c r="F6" s="3">
        <v>0</v>
      </c>
      <c r="G6" s="3">
        <f t="shared" si="0"/>
        <v>1393</v>
      </c>
      <c r="H6" s="3">
        <f t="shared" si="1"/>
        <v>0.14035055350553505</v>
      </c>
      <c r="I6" s="36" t="s">
        <v>484</v>
      </c>
      <c r="O6" s="17" t="s">
        <v>22</v>
      </c>
      <c r="P6" s="18">
        <f>MIN(G2:G76)</f>
        <v>149</v>
      </c>
    </row>
    <row r="7" spans="1:18" ht="15" customHeight="1" x14ac:dyDescent="0.35">
      <c r="A7" s="5">
        <v>6</v>
      </c>
      <c r="B7" s="6" t="s">
        <v>23</v>
      </c>
      <c r="C7" s="6" t="s">
        <v>11</v>
      </c>
      <c r="D7" s="6">
        <v>3</v>
      </c>
      <c r="E7" s="7">
        <v>449</v>
      </c>
      <c r="F7" s="6">
        <v>0</v>
      </c>
      <c r="G7" s="3">
        <f t="shared" si="0"/>
        <v>1347</v>
      </c>
      <c r="H7" s="3">
        <f t="shared" si="1"/>
        <v>0.16520295202952029</v>
      </c>
      <c r="I7" s="36" t="s">
        <v>485</v>
      </c>
      <c r="O7" s="17" t="s">
        <v>24</v>
      </c>
      <c r="P7" s="18">
        <f>AVERAGE(G2:G76)</f>
        <v>722.66666666666663</v>
      </c>
    </row>
    <row r="8" spans="1:18" ht="15" customHeight="1" x14ac:dyDescent="0.35">
      <c r="A8" s="5">
        <v>7</v>
      </c>
      <c r="B8" s="6" t="s">
        <v>25</v>
      </c>
      <c r="C8" s="6" t="s">
        <v>11</v>
      </c>
      <c r="D8" s="6">
        <v>5</v>
      </c>
      <c r="E8" s="7">
        <v>249</v>
      </c>
      <c r="F8" s="6">
        <v>0</v>
      </c>
      <c r="G8" s="3">
        <f t="shared" si="0"/>
        <v>1245</v>
      </c>
      <c r="H8" s="3">
        <f t="shared" si="1"/>
        <v>0.18817343173431733</v>
      </c>
      <c r="I8" s="36" t="s">
        <v>484</v>
      </c>
      <c r="J8" s="49" t="s">
        <v>112</v>
      </c>
      <c r="K8" t="s">
        <v>491</v>
      </c>
      <c r="O8" s="17" t="s">
        <v>26</v>
      </c>
      <c r="P8" s="18">
        <f>COUNT(E2:E76)</f>
        <v>75</v>
      </c>
    </row>
    <row r="9" spans="1:18" ht="15" customHeight="1" x14ac:dyDescent="0.35">
      <c r="A9" s="5">
        <v>8</v>
      </c>
      <c r="B9" s="6" t="s">
        <v>27</v>
      </c>
      <c r="C9" s="6" t="s">
        <v>10</v>
      </c>
      <c r="D9" s="6">
        <v>7</v>
      </c>
      <c r="E9" s="7">
        <v>175</v>
      </c>
      <c r="F9" s="6">
        <v>0</v>
      </c>
      <c r="G9" s="3">
        <f t="shared" si="0"/>
        <v>1225</v>
      </c>
      <c r="H9" s="3">
        <f t="shared" si="1"/>
        <v>0.21077490774907748</v>
      </c>
      <c r="I9" s="36" t="s">
        <v>484</v>
      </c>
      <c r="J9" s="49" t="s">
        <v>117</v>
      </c>
      <c r="K9">
        <v>48088</v>
      </c>
      <c r="O9" s="17" t="s">
        <v>28</v>
      </c>
      <c r="P9" s="18">
        <f>SUM(D2:D76)</f>
        <v>229</v>
      </c>
    </row>
    <row r="10" spans="1:18" ht="15" customHeight="1" x14ac:dyDescent="0.35">
      <c r="A10" s="5">
        <v>9</v>
      </c>
      <c r="B10" s="6" t="s">
        <v>29</v>
      </c>
      <c r="C10" s="6" t="s">
        <v>11</v>
      </c>
      <c r="D10" s="6">
        <v>3</v>
      </c>
      <c r="E10" s="7">
        <v>399</v>
      </c>
      <c r="F10" s="6">
        <v>0</v>
      </c>
      <c r="G10" s="3">
        <f t="shared" si="0"/>
        <v>1197</v>
      </c>
      <c r="H10" s="3">
        <f t="shared" si="1"/>
        <v>0.23285977859778598</v>
      </c>
      <c r="I10" s="36" t="s">
        <v>485</v>
      </c>
      <c r="J10" s="49" t="s">
        <v>145</v>
      </c>
      <c r="K10">
        <v>1096</v>
      </c>
      <c r="O10" s="17" t="s">
        <v>30</v>
      </c>
      <c r="P10" s="18">
        <f>SUM(G2:G76)</f>
        <v>54200</v>
      </c>
    </row>
    <row r="11" spans="1:18" ht="15" customHeight="1" x14ac:dyDescent="0.35">
      <c r="A11" s="5">
        <v>10</v>
      </c>
      <c r="B11" s="6" t="s">
        <v>31</v>
      </c>
      <c r="C11" s="6" t="s">
        <v>11</v>
      </c>
      <c r="D11" s="6">
        <v>3</v>
      </c>
      <c r="E11" s="7">
        <v>399</v>
      </c>
      <c r="F11" s="6">
        <v>0</v>
      </c>
      <c r="G11" s="3">
        <f t="shared" si="0"/>
        <v>1197</v>
      </c>
      <c r="H11" s="3">
        <f t="shared" si="1"/>
        <v>0.25494464944649448</v>
      </c>
      <c r="I11" s="36" t="s">
        <v>485</v>
      </c>
      <c r="J11" s="49" t="s">
        <v>123</v>
      </c>
      <c r="K11">
        <v>5016</v>
      </c>
    </row>
    <row r="12" spans="1:18" ht="15" customHeight="1" x14ac:dyDescent="0.35">
      <c r="A12" s="5">
        <v>11</v>
      </c>
      <c r="B12" s="3" t="s">
        <v>32</v>
      </c>
      <c r="C12" s="3" t="s">
        <v>11</v>
      </c>
      <c r="D12" s="3">
        <v>4</v>
      </c>
      <c r="E12" s="4">
        <v>299</v>
      </c>
      <c r="F12" s="3">
        <v>0</v>
      </c>
      <c r="G12" s="3">
        <f t="shared" si="0"/>
        <v>1196</v>
      </c>
      <c r="H12" s="3">
        <f t="shared" si="1"/>
        <v>0.27701107011070114</v>
      </c>
      <c r="I12" s="36" t="s">
        <v>484</v>
      </c>
      <c r="O12" s="35"/>
      <c r="P12" s="35"/>
      <c r="R12" s="35"/>
    </row>
    <row r="13" spans="1:18" ht="15" customHeight="1" x14ac:dyDescent="0.35">
      <c r="A13" s="5">
        <v>12</v>
      </c>
      <c r="B13" s="3" t="s">
        <v>33</v>
      </c>
      <c r="C13" s="3" t="s">
        <v>11</v>
      </c>
      <c r="D13" s="3">
        <v>3</v>
      </c>
      <c r="E13" s="4">
        <v>375</v>
      </c>
      <c r="F13" s="3">
        <v>0</v>
      </c>
      <c r="G13" s="3">
        <f t="shared" si="0"/>
        <v>1125</v>
      </c>
      <c r="H13" s="3">
        <f t="shared" si="1"/>
        <v>0.29776752767527681</v>
      </c>
      <c r="I13" s="36" t="s">
        <v>485</v>
      </c>
      <c r="O13" s="34"/>
      <c r="P13" s="34"/>
      <c r="R13" s="34"/>
    </row>
    <row r="14" spans="1:18" ht="15" customHeight="1" x14ac:dyDescent="0.35">
      <c r="A14" s="5">
        <v>13</v>
      </c>
      <c r="B14" s="3" t="s">
        <v>34</v>
      </c>
      <c r="C14" s="3" t="s">
        <v>16</v>
      </c>
      <c r="D14" s="3">
        <v>5</v>
      </c>
      <c r="E14" s="4">
        <v>225</v>
      </c>
      <c r="F14" s="3">
        <v>0</v>
      </c>
      <c r="G14" s="3">
        <f t="shared" si="0"/>
        <v>1125</v>
      </c>
      <c r="H14" s="3">
        <f t="shared" si="1"/>
        <v>0.31852398523985248</v>
      </c>
      <c r="I14" s="36" t="s">
        <v>484</v>
      </c>
      <c r="O14" s="34"/>
      <c r="P14" s="34"/>
      <c r="R14" s="34"/>
    </row>
    <row r="15" spans="1:18" ht="15" customHeight="1" x14ac:dyDescent="0.35">
      <c r="A15" s="5">
        <v>14</v>
      </c>
      <c r="B15" s="3" t="s">
        <v>35</v>
      </c>
      <c r="C15" s="3" t="s">
        <v>11</v>
      </c>
      <c r="D15" s="3">
        <v>2</v>
      </c>
      <c r="E15" s="4">
        <v>550</v>
      </c>
      <c r="F15" s="3">
        <v>0</v>
      </c>
      <c r="G15" s="3">
        <f t="shared" si="0"/>
        <v>1100</v>
      </c>
      <c r="H15" s="3">
        <f t="shared" si="1"/>
        <v>0.338819188191882</v>
      </c>
      <c r="I15" s="36" t="s">
        <v>486</v>
      </c>
      <c r="O15" s="34"/>
      <c r="P15" s="34"/>
      <c r="R15" s="34"/>
    </row>
    <row r="16" spans="1:18" ht="15" customHeight="1" x14ac:dyDescent="0.35">
      <c r="A16" s="5">
        <v>15</v>
      </c>
      <c r="B16" s="6" t="s">
        <v>36</v>
      </c>
      <c r="C16" s="6" t="s">
        <v>11</v>
      </c>
      <c r="D16" s="6">
        <v>3</v>
      </c>
      <c r="E16" s="7">
        <v>349</v>
      </c>
      <c r="F16" s="6">
        <v>0</v>
      </c>
      <c r="G16" s="3">
        <f t="shared" si="0"/>
        <v>1047</v>
      </c>
      <c r="H16" s="3">
        <f t="shared" si="1"/>
        <v>0.35813653136531376</v>
      </c>
      <c r="I16" s="36" t="s">
        <v>485</v>
      </c>
      <c r="O16" s="34"/>
      <c r="P16" s="34"/>
      <c r="R16" s="34"/>
    </row>
    <row r="17" spans="1:11" ht="15" customHeight="1" x14ac:dyDescent="0.35">
      <c r="A17" s="5">
        <v>16</v>
      </c>
      <c r="B17" s="6" t="s">
        <v>37</v>
      </c>
      <c r="C17" s="6" t="s">
        <v>16</v>
      </c>
      <c r="D17" s="6">
        <v>4</v>
      </c>
      <c r="E17" s="7">
        <v>249</v>
      </c>
      <c r="F17" s="6">
        <v>0</v>
      </c>
      <c r="G17" s="3">
        <f t="shared" si="0"/>
        <v>996</v>
      </c>
      <c r="H17" s="3">
        <f t="shared" si="1"/>
        <v>0.37651291512915142</v>
      </c>
      <c r="I17" s="36" t="s">
        <v>484</v>
      </c>
    </row>
    <row r="18" spans="1:11" ht="15" customHeight="1" x14ac:dyDescent="0.35">
      <c r="A18" s="5">
        <v>17</v>
      </c>
      <c r="B18" s="6" t="s">
        <v>38</v>
      </c>
      <c r="C18" s="6" t="s">
        <v>11</v>
      </c>
      <c r="D18" s="6">
        <v>3</v>
      </c>
      <c r="E18" s="7">
        <v>299</v>
      </c>
      <c r="F18" s="6">
        <v>1</v>
      </c>
      <c r="G18" s="3">
        <f t="shared" si="0"/>
        <v>897</v>
      </c>
      <c r="H18" s="3">
        <f t="shared" si="1"/>
        <v>0.3930627306273064</v>
      </c>
      <c r="I18" s="36" t="s">
        <v>485</v>
      </c>
    </row>
    <row r="19" spans="1:11" ht="15" customHeight="1" x14ac:dyDescent="0.35">
      <c r="A19" s="5">
        <v>18</v>
      </c>
      <c r="B19" s="6" t="s">
        <v>39</v>
      </c>
      <c r="C19" s="6" t="s">
        <v>11</v>
      </c>
      <c r="D19" s="6">
        <v>3</v>
      </c>
      <c r="E19" s="7">
        <v>299</v>
      </c>
      <c r="F19" s="6">
        <v>0</v>
      </c>
      <c r="G19" s="3">
        <f t="shared" si="0"/>
        <v>897</v>
      </c>
      <c r="H19" s="3">
        <f t="shared" si="1"/>
        <v>0.40961254612546139</v>
      </c>
      <c r="I19" s="36" t="s">
        <v>485</v>
      </c>
    </row>
    <row r="20" spans="1:11" ht="15" customHeight="1" x14ac:dyDescent="0.35">
      <c r="A20" s="5">
        <v>19</v>
      </c>
      <c r="B20" s="6" t="s">
        <v>40</v>
      </c>
      <c r="C20" s="6" t="s">
        <v>10</v>
      </c>
      <c r="D20" s="6">
        <v>3</v>
      </c>
      <c r="E20" s="7">
        <v>299</v>
      </c>
      <c r="F20" s="6">
        <v>0</v>
      </c>
      <c r="G20" s="3">
        <f t="shared" si="0"/>
        <v>897</v>
      </c>
      <c r="H20" s="3">
        <f t="shared" si="1"/>
        <v>0.42616236162361637</v>
      </c>
      <c r="I20" s="36" t="s">
        <v>485</v>
      </c>
    </row>
    <row r="21" spans="1:11" ht="15" customHeight="1" x14ac:dyDescent="0.35">
      <c r="A21" s="5">
        <v>20</v>
      </c>
      <c r="B21" s="3" t="s">
        <v>41</v>
      </c>
      <c r="C21" s="3" t="s">
        <v>10</v>
      </c>
      <c r="D21" s="3">
        <v>3</v>
      </c>
      <c r="E21" s="4">
        <v>299</v>
      </c>
      <c r="F21" s="3">
        <v>0</v>
      </c>
      <c r="G21" s="3">
        <f t="shared" si="0"/>
        <v>897</v>
      </c>
      <c r="H21" s="3">
        <f t="shared" si="1"/>
        <v>0.44271217712177136</v>
      </c>
      <c r="I21" s="36" t="s">
        <v>485</v>
      </c>
    </row>
    <row r="22" spans="1:11" ht="15" customHeight="1" x14ac:dyDescent="0.35">
      <c r="A22" s="5">
        <v>21</v>
      </c>
      <c r="B22" s="6" t="s">
        <v>42</v>
      </c>
      <c r="C22" s="6" t="s">
        <v>10</v>
      </c>
      <c r="D22" s="6">
        <v>5</v>
      </c>
      <c r="E22" s="7">
        <v>175</v>
      </c>
      <c r="F22" s="6">
        <v>0</v>
      </c>
      <c r="G22" s="3">
        <f t="shared" si="0"/>
        <v>875</v>
      </c>
      <c r="H22" s="3">
        <f t="shared" si="1"/>
        <v>0.45885608856088572</v>
      </c>
      <c r="I22" s="36" t="s">
        <v>484</v>
      </c>
    </row>
    <row r="23" spans="1:11" ht="15" customHeight="1" x14ac:dyDescent="0.35">
      <c r="A23" s="5">
        <v>22</v>
      </c>
      <c r="B23" s="6" t="s">
        <v>43</v>
      </c>
      <c r="C23" s="6" t="s">
        <v>10</v>
      </c>
      <c r="D23" s="6">
        <v>5</v>
      </c>
      <c r="E23" s="7">
        <v>175</v>
      </c>
      <c r="F23" s="6">
        <v>0</v>
      </c>
      <c r="G23" s="3">
        <f t="shared" si="0"/>
        <v>875</v>
      </c>
      <c r="H23" s="3">
        <f t="shared" si="1"/>
        <v>0.47500000000000009</v>
      </c>
      <c r="I23" s="36" t="s">
        <v>484</v>
      </c>
    </row>
    <row r="24" spans="1:11" ht="15" customHeight="1" x14ac:dyDescent="0.35">
      <c r="A24" s="5">
        <v>23</v>
      </c>
      <c r="B24" s="6" t="s">
        <v>44</v>
      </c>
      <c r="C24" s="6" t="s">
        <v>10</v>
      </c>
      <c r="D24" s="6">
        <v>5</v>
      </c>
      <c r="E24" s="7">
        <v>175</v>
      </c>
      <c r="F24" s="6">
        <v>0</v>
      </c>
      <c r="G24" s="3">
        <f t="shared" si="0"/>
        <v>875</v>
      </c>
      <c r="H24" s="3">
        <f t="shared" si="1"/>
        <v>0.49114391143911446</v>
      </c>
      <c r="I24" s="36" t="s">
        <v>484</v>
      </c>
    </row>
    <row r="25" spans="1:11" ht="15" customHeight="1" x14ac:dyDescent="0.35">
      <c r="A25" s="5">
        <v>24</v>
      </c>
      <c r="B25" s="6" t="s">
        <v>45</v>
      </c>
      <c r="C25" s="6" t="s">
        <v>16</v>
      </c>
      <c r="D25" s="6">
        <v>3</v>
      </c>
      <c r="E25" s="7">
        <v>279</v>
      </c>
      <c r="F25" s="6">
        <v>0</v>
      </c>
      <c r="G25" s="3">
        <f t="shared" si="0"/>
        <v>837</v>
      </c>
      <c r="H25" s="3">
        <f t="shared" si="1"/>
        <v>0.50658671586715875</v>
      </c>
      <c r="I25" s="36" t="s">
        <v>485</v>
      </c>
    </row>
    <row r="26" spans="1:11" ht="15" customHeight="1" x14ac:dyDescent="0.35">
      <c r="A26" s="5">
        <v>25</v>
      </c>
      <c r="B26" s="6" t="s">
        <v>46</v>
      </c>
      <c r="C26" s="6" t="s">
        <v>11</v>
      </c>
      <c r="D26" s="6">
        <v>3</v>
      </c>
      <c r="E26" s="7">
        <v>275</v>
      </c>
      <c r="F26" s="6">
        <v>0</v>
      </c>
      <c r="G26" s="3">
        <f t="shared" si="0"/>
        <v>825</v>
      </c>
      <c r="H26" s="3">
        <f t="shared" si="1"/>
        <v>0.52180811808118088</v>
      </c>
      <c r="I26" s="36" t="s">
        <v>485</v>
      </c>
    </row>
    <row r="27" spans="1:11" ht="15" customHeight="1" x14ac:dyDescent="0.35">
      <c r="A27" s="5">
        <v>26</v>
      </c>
      <c r="B27" s="6" t="s">
        <v>47</v>
      </c>
      <c r="C27" s="6" t="s">
        <v>10</v>
      </c>
      <c r="D27" s="6">
        <v>3</v>
      </c>
      <c r="E27" s="7">
        <v>275</v>
      </c>
      <c r="F27" s="6">
        <v>0</v>
      </c>
      <c r="G27" s="3">
        <f t="shared" si="0"/>
        <v>825</v>
      </c>
      <c r="H27" s="3">
        <f t="shared" si="1"/>
        <v>0.53702952029520301</v>
      </c>
      <c r="I27" s="36" t="s">
        <v>485</v>
      </c>
      <c r="J27" t="s">
        <v>492</v>
      </c>
      <c r="K27" t="s">
        <v>493</v>
      </c>
    </row>
    <row r="28" spans="1:11" ht="15" customHeight="1" x14ac:dyDescent="0.35">
      <c r="A28" s="5">
        <v>27</v>
      </c>
      <c r="B28" s="6" t="s">
        <v>48</v>
      </c>
      <c r="C28" s="6" t="s">
        <v>10</v>
      </c>
      <c r="D28" s="6">
        <v>3</v>
      </c>
      <c r="E28" s="7">
        <v>275</v>
      </c>
      <c r="F28" s="6">
        <v>0</v>
      </c>
      <c r="G28" s="3">
        <f t="shared" si="0"/>
        <v>825</v>
      </c>
      <c r="H28" s="3">
        <f t="shared" si="1"/>
        <v>0.55225092250922514</v>
      </c>
      <c r="I28" s="36" t="s">
        <v>485</v>
      </c>
      <c r="J28" t="s">
        <v>494</v>
      </c>
      <c r="K28">
        <v>290.5</v>
      </c>
    </row>
    <row r="29" spans="1:11" ht="15" customHeight="1" x14ac:dyDescent="0.35">
      <c r="A29" s="5">
        <v>28</v>
      </c>
      <c r="B29" s="3" t="s">
        <v>49</v>
      </c>
      <c r="C29" s="3" t="s">
        <v>10</v>
      </c>
      <c r="D29" s="3">
        <v>3</v>
      </c>
      <c r="E29" s="4">
        <v>275</v>
      </c>
      <c r="F29" s="3">
        <v>0</v>
      </c>
      <c r="G29" s="3">
        <f t="shared" si="0"/>
        <v>825</v>
      </c>
      <c r="H29" s="3">
        <f t="shared" si="1"/>
        <v>0.56747232472324727</v>
      </c>
      <c r="I29" s="36" t="s">
        <v>485</v>
      </c>
      <c r="J29" t="s">
        <v>495</v>
      </c>
      <c r="K29">
        <v>560.9</v>
      </c>
    </row>
    <row r="30" spans="1:11" ht="15" customHeight="1" x14ac:dyDescent="0.35">
      <c r="A30" s="5">
        <v>29</v>
      </c>
      <c r="B30" s="3" t="s">
        <v>50</v>
      </c>
      <c r="C30" s="3" t="s">
        <v>19</v>
      </c>
      <c r="D30" s="3">
        <v>3</v>
      </c>
      <c r="E30" s="4">
        <v>275</v>
      </c>
      <c r="F30" s="3">
        <v>0</v>
      </c>
      <c r="G30" s="3">
        <f t="shared" si="0"/>
        <v>825</v>
      </c>
      <c r="H30" s="3">
        <f t="shared" si="1"/>
        <v>0.5826937269372694</v>
      </c>
      <c r="I30" s="36" t="s">
        <v>485</v>
      </c>
      <c r="J30" t="s">
        <v>496</v>
      </c>
      <c r="K30">
        <v>746.3</v>
      </c>
    </row>
    <row r="31" spans="1:11" ht="15" customHeight="1" x14ac:dyDescent="0.35">
      <c r="A31" s="5">
        <v>30</v>
      </c>
      <c r="B31" s="3" t="s">
        <v>51</v>
      </c>
      <c r="C31" s="3" t="s">
        <v>11</v>
      </c>
      <c r="D31" s="3">
        <v>2</v>
      </c>
      <c r="E31" s="4">
        <v>399</v>
      </c>
      <c r="F31" s="3">
        <v>0</v>
      </c>
      <c r="G31" s="3">
        <f t="shared" si="0"/>
        <v>798</v>
      </c>
      <c r="H31" s="3">
        <f t="shared" si="1"/>
        <v>0.59741697416974171</v>
      </c>
      <c r="I31" s="36" t="s">
        <v>486</v>
      </c>
    </row>
    <row r="32" spans="1:11" ht="15" customHeight="1" x14ac:dyDescent="0.35">
      <c r="A32" s="5">
        <v>31</v>
      </c>
      <c r="B32" s="3" t="s">
        <v>52</v>
      </c>
      <c r="C32" s="3" t="s">
        <v>10</v>
      </c>
      <c r="D32" s="3">
        <v>4</v>
      </c>
      <c r="E32" s="4">
        <v>199</v>
      </c>
      <c r="F32" s="3">
        <v>0</v>
      </c>
      <c r="G32" s="3">
        <f t="shared" si="0"/>
        <v>796</v>
      </c>
      <c r="H32" s="3">
        <f t="shared" si="1"/>
        <v>0.6121033210332103</v>
      </c>
      <c r="I32" s="36" t="s">
        <v>484</v>
      </c>
    </row>
    <row r="33" spans="1:9" ht="15" customHeight="1" x14ac:dyDescent="0.35">
      <c r="A33" s="5">
        <v>32</v>
      </c>
      <c r="B33" s="6" t="s">
        <v>53</v>
      </c>
      <c r="C33" s="6" t="s">
        <v>10</v>
      </c>
      <c r="D33" s="6">
        <v>4</v>
      </c>
      <c r="E33" s="7">
        <v>199</v>
      </c>
      <c r="F33" s="6">
        <v>0</v>
      </c>
      <c r="G33" s="3">
        <f t="shared" si="0"/>
        <v>796</v>
      </c>
      <c r="H33" s="3">
        <f t="shared" si="1"/>
        <v>0.62678966789667889</v>
      </c>
      <c r="I33" s="36" t="s">
        <v>484</v>
      </c>
    </row>
    <row r="34" spans="1:9" ht="15" customHeight="1" x14ac:dyDescent="0.35">
      <c r="A34" s="5">
        <v>33</v>
      </c>
      <c r="B34" s="6" t="s">
        <v>54</v>
      </c>
      <c r="C34" s="6" t="s">
        <v>19</v>
      </c>
      <c r="D34" s="6">
        <v>4</v>
      </c>
      <c r="E34" s="7">
        <v>199</v>
      </c>
      <c r="F34" s="6">
        <v>0</v>
      </c>
      <c r="G34" s="3">
        <f t="shared" ref="G34:G65" si="2">D34*E34</f>
        <v>796</v>
      </c>
      <c r="H34" s="3">
        <f t="shared" si="1"/>
        <v>0.64147601476014748</v>
      </c>
      <c r="I34" s="36" t="s">
        <v>484</v>
      </c>
    </row>
    <row r="35" spans="1:9" ht="15" customHeight="1" x14ac:dyDescent="0.35">
      <c r="A35" s="5">
        <v>34</v>
      </c>
      <c r="B35" s="3" t="s">
        <v>55</v>
      </c>
      <c r="C35" s="3" t="s">
        <v>10</v>
      </c>
      <c r="D35" s="3">
        <v>8</v>
      </c>
      <c r="E35" s="4">
        <v>99</v>
      </c>
      <c r="F35" s="3">
        <v>0</v>
      </c>
      <c r="G35" s="3">
        <f t="shared" si="2"/>
        <v>792</v>
      </c>
      <c r="H35" s="3">
        <f t="shared" ref="H35:H66" si="3">H34+(G35/SUM(G$2:G$76))</f>
        <v>0.65608856088560874</v>
      </c>
      <c r="I35" s="36" t="s">
        <v>484</v>
      </c>
    </row>
    <row r="36" spans="1:9" ht="15" customHeight="1" x14ac:dyDescent="0.35">
      <c r="A36" s="5">
        <v>35</v>
      </c>
      <c r="B36" s="6" t="s">
        <v>56</v>
      </c>
      <c r="C36" s="6" t="s">
        <v>11</v>
      </c>
      <c r="D36" s="6">
        <v>3</v>
      </c>
      <c r="E36" s="7">
        <v>249</v>
      </c>
      <c r="F36" s="6">
        <v>0</v>
      </c>
      <c r="G36" s="3">
        <f t="shared" si="2"/>
        <v>747</v>
      </c>
      <c r="H36" s="3">
        <f t="shared" si="3"/>
        <v>0.66987084870848701</v>
      </c>
      <c r="I36" s="36" t="s">
        <v>485</v>
      </c>
    </row>
    <row r="37" spans="1:9" ht="15" customHeight="1" x14ac:dyDescent="0.35">
      <c r="A37" s="5">
        <v>36</v>
      </c>
      <c r="B37" s="3" t="s">
        <v>57</v>
      </c>
      <c r="C37" s="3" t="s">
        <v>11</v>
      </c>
      <c r="D37" s="3">
        <v>3</v>
      </c>
      <c r="E37" s="4">
        <v>249</v>
      </c>
      <c r="F37" s="3">
        <v>0</v>
      </c>
      <c r="G37" s="3">
        <f t="shared" si="2"/>
        <v>747</v>
      </c>
      <c r="H37" s="3">
        <f t="shared" si="3"/>
        <v>0.68365313653136528</v>
      </c>
      <c r="I37" s="36" t="s">
        <v>485</v>
      </c>
    </row>
    <row r="38" spans="1:9" ht="15" customHeight="1" x14ac:dyDescent="0.35">
      <c r="A38" s="5">
        <v>37</v>
      </c>
      <c r="B38" s="3" t="s">
        <v>58</v>
      </c>
      <c r="C38" s="3" t="s">
        <v>11</v>
      </c>
      <c r="D38" s="3">
        <v>3</v>
      </c>
      <c r="E38" s="4">
        <v>249</v>
      </c>
      <c r="F38" s="3">
        <v>0</v>
      </c>
      <c r="G38" s="3">
        <f t="shared" si="2"/>
        <v>747</v>
      </c>
      <c r="H38" s="3">
        <f t="shared" si="3"/>
        <v>0.69743542435424355</v>
      </c>
      <c r="I38" s="36" t="s">
        <v>485</v>
      </c>
    </row>
    <row r="39" spans="1:9" ht="15" customHeight="1" x14ac:dyDescent="0.35">
      <c r="A39" s="5">
        <v>38</v>
      </c>
      <c r="B39" s="3" t="s">
        <v>59</v>
      </c>
      <c r="C39" s="3" t="s">
        <v>10</v>
      </c>
      <c r="D39" s="3">
        <v>3</v>
      </c>
      <c r="E39" s="4">
        <v>249</v>
      </c>
      <c r="F39" s="3">
        <v>0</v>
      </c>
      <c r="G39" s="3">
        <f t="shared" si="2"/>
        <v>747</v>
      </c>
      <c r="H39" s="3">
        <f t="shared" si="3"/>
        <v>0.71121771217712182</v>
      </c>
      <c r="I39" s="36" t="s">
        <v>485</v>
      </c>
    </row>
    <row r="40" spans="1:9" ht="15" customHeight="1" x14ac:dyDescent="0.35">
      <c r="A40" s="5">
        <v>39</v>
      </c>
      <c r="B40" s="3" t="s">
        <v>60</v>
      </c>
      <c r="C40" s="3" t="s">
        <v>10</v>
      </c>
      <c r="D40" s="3">
        <v>6</v>
      </c>
      <c r="E40" s="4">
        <v>120</v>
      </c>
      <c r="F40" s="3">
        <v>0</v>
      </c>
      <c r="G40" s="3">
        <f t="shared" si="2"/>
        <v>720</v>
      </c>
      <c r="H40" s="3">
        <f t="shared" si="3"/>
        <v>0.72450184501845027</v>
      </c>
      <c r="I40" s="36" t="s">
        <v>484</v>
      </c>
    </row>
    <row r="41" spans="1:9" ht="15" customHeight="1" x14ac:dyDescent="0.35">
      <c r="A41" s="5">
        <v>40</v>
      </c>
      <c r="B41" s="6" t="s">
        <v>61</v>
      </c>
      <c r="C41" s="6" t="s">
        <v>11</v>
      </c>
      <c r="D41" s="6">
        <v>2</v>
      </c>
      <c r="E41" s="7">
        <v>350</v>
      </c>
      <c r="F41" s="6">
        <v>0</v>
      </c>
      <c r="G41" s="3">
        <f t="shared" si="2"/>
        <v>700</v>
      </c>
      <c r="H41" s="3">
        <f t="shared" si="3"/>
        <v>0.73741697416974183</v>
      </c>
      <c r="I41" s="36" t="s">
        <v>486</v>
      </c>
    </row>
    <row r="42" spans="1:9" ht="15" customHeight="1" x14ac:dyDescent="0.35">
      <c r="A42" s="5">
        <v>41</v>
      </c>
      <c r="B42" s="6" t="s">
        <v>62</v>
      </c>
      <c r="C42" s="6" t="s">
        <v>19</v>
      </c>
      <c r="D42" s="6">
        <v>4</v>
      </c>
      <c r="E42" s="7">
        <v>175</v>
      </c>
      <c r="F42" s="6">
        <v>0</v>
      </c>
      <c r="G42" s="3">
        <f t="shared" si="2"/>
        <v>700</v>
      </c>
      <c r="H42" s="3">
        <f t="shared" si="3"/>
        <v>0.75033210332103339</v>
      </c>
      <c r="I42" s="36" t="s">
        <v>484</v>
      </c>
    </row>
    <row r="43" spans="1:9" ht="15" customHeight="1" x14ac:dyDescent="0.35">
      <c r="A43" s="5">
        <v>42</v>
      </c>
      <c r="B43" s="3" t="s">
        <v>63</v>
      </c>
      <c r="C43" s="3" t="s">
        <v>11</v>
      </c>
      <c r="D43" s="3">
        <v>2</v>
      </c>
      <c r="E43" s="4">
        <v>349</v>
      </c>
      <c r="F43" s="3">
        <v>0</v>
      </c>
      <c r="G43" s="3">
        <f t="shared" si="2"/>
        <v>698</v>
      </c>
      <c r="H43" s="3">
        <f t="shared" si="3"/>
        <v>0.76321033210332123</v>
      </c>
      <c r="I43" s="36" t="s">
        <v>486</v>
      </c>
    </row>
    <row r="44" spans="1:9" ht="15" customHeight="1" x14ac:dyDescent="0.35">
      <c r="A44" s="5">
        <v>43</v>
      </c>
      <c r="B44" s="3" t="s">
        <v>64</v>
      </c>
      <c r="C44" s="3" t="s">
        <v>10</v>
      </c>
      <c r="D44" s="3">
        <v>3</v>
      </c>
      <c r="E44" s="4">
        <v>225</v>
      </c>
      <c r="F44" s="3">
        <v>0</v>
      </c>
      <c r="G44" s="3">
        <f t="shared" si="2"/>
        <v>675</v>
      </c>
      <c r="H44" s="3">
        <f t="shared" si="3"/>
        <v>0.77566420664206659</v>
      </c>
      <c r="I44" s="36" t="s">
        <v>485</v>
      </c>
    </row>
    <row r="45" spans="1:9" ht="15" customHeight="1" x14ac:dyDescent="0.35">
      <c r="A45" s="5">
        <v>44</v>
      </c>
      <c r="B45" s="3" t="s">
        <v>65</v>
      </c>
      <c r="C45" s="3" t="s">
        <v>10</v>
      </c>
      <c r="D45" s="3">
        <v>2</v>
      </c>
      <c r="E45" s="4">
        <v>299</v>
      </c>
      <c r="F45" s="3">
        <v>0</v>
      </c>
      <c r="G45" s="3">
        <f t="shared" si="2"/>
        <v>598</v>
      </c>
      <c r="H45" s="3">
        <f t="shared" si="3"/>
        <v>0.78669741697416995</v>
      </c>
      <c r="I45" s="36" t="s">
        <v>486</v>
      </c>
    </row>
    <row r="46" spans="1:9" ht="15" customHeight="1" x14ac:dyDescent="0.35">
      <c r="A46" s="5">
        <v>45</v>
      </c>
      <c r="B46" s="3" t="s">
        <v>66</v>
      </c>
      <c r="C46" s="3" t="s">
        <v>10</v>
      </c>
      <c r="D46" s="3">
        <v>3</v>
      </c>
      <c r="E46" s="4">
        <v>199</v>
      </c>
      <c r="F46" s="3">
        <v>0</v>
      </c>
      <c r="G46" s="3">
        <f t="shared" si="2"/>
        <v>597</v>
      </c>
      <c r="H46" s="3">
        <f t="shared" si="3"/>
        <v>0.79771217712177145</v>
      </c>
      <c r="I46" s="36" t="s">
        <v>485</v>
      </c>
    </row>
    <row r="47" spans="1:9" ht="15" customHeight="1" x14ac:dyDescent="0.35">
      <c r="A47" s="5">
        <v>46</v>
      </c>
      <c r="B47" s="6" t="s">
        <v>67</v>
      </c>
      <c r="C47" s="6" t="s">
        <v>19</v>
      </c>
      <c r="D47" s="6">
        <v>3</v>
      </c>
      <c r="E47" s="7">
        <v>199</v>
      </c>
      <c r="F47" s="6">
        <v>0</v>
      </c>
      <c r="G47" s="3">
        <f t="shared" si="2"/>
        <v>597</v>
      </c>
      <c r="H47" s="3">
        <f t="shared" si="3"/>
        <v>0.80872693726937295</v>
      </c>
      <c r="I47" s="36" t="s">
        <v>485</v>
      </c>
    </row>
    <row r="48" spans="1:9" ht="15" customHeight="1" x14ac:dyDescent="0.35">
      <c r="A48" s="5">
        <v>47</v>
      </c>
      <c r="B48" s="9" t="s">
        <v>68</v>
      </c>
      <c r="C48" s="6" t="s">
        <v>16</v>
      </c>
      <c r="D48" s="6">
        <v>2</v>
      </c>
      <c r="E48" s="7">
        <v>275</v>
      </c>
      <c r="F48" s="6">
        <v>0</v>
      </c>
      <c r="G48" s="3">
        <f t="shared" si="2"/>
        <v>550</v>
      </c>
      <c r="H48" s="3">
        <f t="shared" si="3"/>
        <v>0.81887453874538774</v>
      </c>
      <c r="I48" s="36" t="s">
        <v>486</v>
      </c>
    </row>
    <row r="49" spans="1:9" ht="15" customHeight="1" x14ac:dyDescent="0.35">
      <c r="A49" s="5">
        <v>48</v>
      </c>
      <c r="B49" s="6" t="s">
        <v>69</v>
      </c>
      <c r="C49" s="6" t="s">
        <v>10</v>
      </c>
      <c r="D49" s="6">
        <v>4</v>
      </c>
      <c r="E49" s="7">
        <v>125</v>
      </c>
      <c r="F49" s="6">
        <v>0</v>
      </c>
      <c r="G49" s="3">
        <f t="shared" si="2"/>
        <v>500</v>
      </c>
      <c r="H49" s="3">
        <f t="shared" si="3"/>
        <v>0.82809963099631023</v>
      </c>
      <c r="I49" s="36" t="s">
        <v>484</v>
      </c>
    </row>
    <row r="50" spans="1:9" ht="15" customHeight="1" x14ac:dyDescent="0.35">
      <c r="A50" s="5">
        <v>49</v>
      </c>
      <c r="B50" s="6" t="s">
        <v>70</v>
      </c>
      <c r="C50" s="6" t="s">
        <v>19</v>
      </c>
      <c r="D50" s="6">
        <v>2</v>
      </c>
      <c r="E50" s="7">
        <v>250</v>
      </c>
      <c r="F50" s="6">
        <v>0</v>
      </c>
      <c r="G50" s="3">
        <f t="shared" si="2"/>
        <v>500</v>
      </c>
      <c r="H50" s="3">
        <f t="shared" si="3"/>
        <v>0.83732472324723273</v>
      </c>
      <c r="I50" s="36" t="s">
        <v>486</v>
      </c>
    </row>
    <row r="51" spans="1:9" ht="15" customHeight="1" x14ac:dyDescent="0.35">
      <c r="A51" s="5">
        <v>50</v>
      </c>
      <c r="B51" s="3" t="s">
        <v>71</v>
      </c>
      <c r="C51" s="3" t="s">
        <v>11</v>
      </c>
      <c r="D51" s="3">
        <v>2</v>
      </c>
      <c r="E51" s="4">
        <v>249</v>
      </c>
      <c r="F51" s="3">
        <v>0</v>
      </c>
      <c r="G51" s="3">
        <f t="shared" si="2"/>
        <v>498</v>
      </c>
      <c r="H51" s="3">
        <f t="shared" si="3"/>
        <v>0.8465129151291515</v>
      </c>
      <c r="I51" s="36" t="s">
        <v>486</v>
      </c>
    </row>
    <row r="52" spans="1:9" ht="15" customHeight="1" x14ac:dyDescent="0.35">
      <c r="A52" s="5">
        <v>51</v>
      </c>
      <c r="B52" s="9" t="s">
        <v>72</v>
      </c>
      <c r="C52" s="6" t="s">
        <v>16</v>
      </c>
      <c r="D52" s="6">
        <v>2</v>
      </c>
      <c r="E52" s="7">
        <v>249</v>
      </c>
      <c r="F52" s="6">
        <v>0</v>
      </c>
      <c r="G52" s="3">
        <f t="shared" si="2"/>
        <v>498</v>
      </c>
      <c r="H52" s="3">
        <f t="shared" si="3"/>
        <v>0.85570110701107027</v>
      </c>
      <c r="I52" s="36" t="s">
        <v>486</v>
      </c>
    </row>
    <row r="53" spans="1:9" ht="15" customHeight="1" x14ac:dyDescent="0.35">
      <c r="A53" s="5">
        <v>52</v>
      </c>
      <c r="B53" s="10" t="s">
        <v>73</v>
      </c>
      <c r="C53" s="3" t="s">
        <v>16</v>
      </c>
      <c r="D53" s="3">
        <v>2</v>
      </c>
      <c r="E53" s="4">
        <v>249</v>
      </c>
      <c r="F53" s="3">
        <v>0</v>
      </c>
      <c r="G53" s="3">
        <f t="shared" si="2"/>
        <v>498</v>
      </c>
      <c r="H53" s="3">
        <f t="shared" si="3"/>
        <v>0.86488929889298904</v>
      </c>
      <c r="I53" s="36" t="s">
        <v>486</v>
      </c>
    </row>
    <row r="54" spans="1:9" ht="15" customHeight="1" x14ac:dyDescent="0.35">
      <c r="A54" s="5">
        <v>53</v>
      </c>
      <c r="B54" s="6" t="s">
        <v>74</v>
      </c>
      <c r="C54" s="6" t="s">
        <v>11</v>
      </c>
      <c r="D54" s="6">
        <v>1</v>
      </c>
      <c r="E54" s="7">
        <v>475</v>
      </c>
      <c r="F54" s="6">
        <v>0</v>
      </c>
      <c r="G54" s="3">
        <f t="shared" si="2"/>
        <v>475</v>
      </c>
      <c r="H54" s="3">
        <f t="shared" si="3"/>
        <v>0.87365313653136545</v>
      </c>
      <c r="I54" s="36" t="s">
        <v>486</v>
      </c>
    </row>
    <row r="55" spans="1:9" ht="15" customHeight="1" x14ac:dyDescent="0.35">
      <c r="A55" s="5">
        <v>54</v>
      </c>
      <c r="B55" s="10" t="s">
        <v>75</v>
      </c>
      <c r="C55" s="3" t="s">
        <v>16</v>
      </c>
      <c r="D55" s="3">
        <v>3</v>
      </c>
      <c r="E55" s="4">
        <v>150</v>
      </c>
      <c r="F55" s="3">
        <v>0</v>
      </c>
      <c r="G55" s="3">
        <f t="shared" si="2"/>
        <v>450</v>
      </c>
      <c r="H55" s="3">
        <f t="shared" si="3"/>
        <v>0.88195571955719576</v>
      </c>
      <c r="I55" s="36" t="s">
        <v>485</v>
      </c>
    </row>
    <row r="56" spans="1:9" ht="15" customHeight="1" x14ac:dyDescent="0.35">
      <c r="A56" s="5">
        <v>55</v>
      </c>
      <c r="B56" s="3" t="s">
        <v>76</v>
      </c>
      <c r="C56" s="3" t="s">
        <v>11</v>
      </c>
      <c r="D56" s="3">
        <v>2</v>
      </c>
      <c r="E56" s="4">
        <v>215</v>
      </c>
      <c r="F56" s="3">
        <v>0</v>
      </c>
      <c r="G56" s="3">
        <f t="shared" si="2"/>
        <v>430</v>
      </c>
      <c r="H56" s="3">
        <f t="shared" si="3"/>
        <v>0.88988929889298907</v>
      </c>
      <c r="I56" s="36" t="s">
        <v>486</v>
      </c>
    </row>
    <row r="57" spans="1:9" ht="15" customHeight="1" x14ac:dyDescent="0.35">
      <c r="A57" s="5">
        <v>56</v>
      </c>
      <c r="B57" s="3" t="s">
        <v>77</v>
      </c>
      <c r="C57" s="3" t="s">
        <v>11</v>
      </c>
      <c r="D57" s="3">
        <v>2</v>
      </c>
      <c r="E57" s="4">
        <v>199</v>
      </c>
      <c r="F57" s="3">
        <v>0</v>
      </c>
      <c r="G57" s="3">
        <f t="shared" si="2"/>
        <v>398</v>
      </c>
      <c r="H57" s="3">
        <f t="shared" si="3"/>
        <v>0.89723247232472336</v>
      </c>
      <c r="I57" s="36" t="s">
        <v>486</v>
      </c>
    </row>
    <row r="58" spans="1:9" ht="15" customHeight="1" x14ac:dyDescent="0.35">
      <c r="A58" s="5">
        <v>57</v>
      </c>
      <c r="B58" s="3" t="s">
        <v>78</v>
      </c>
      <c r="C58" s="3" t="s">
        <v>11</v>
      </c>
      <c r="D58" s="3">
        <v>2</v>
      </c>
      <c r="E58" s="4">
        <v>199</v>
      </c>
      <c r="F58" s="3">
        <v>0</v>
      </c>
      <c r="G58" s="3">
        <f t="shared" si="2"/>
        <v>398</v>
      </c>
      <c r="H58" s="3">
        <f t="shared" si="3"/>
        <v>0.90457564575645766</v>
      </c>
      <c r="I58" s="36" t="s">
        <v>486</v>
      </c>
    </row>
    <row r="59" spans="1:9" ht="15" customHeight="1" x14ac:dyDescent="0.35">
      <c r="A59" s="5">
        <v>58</v>
      </c>
      <c r="B59" s="3" t="s">
        <v>79</v>
      </c>
      <c r="C59" s="3" t="s">
        <v>19</v>
      </c>
      <c r="D59" s="3">
        <v>2</v>
      </c>
      <c r="E59" s="4">
        <v>199</v>
      </c>
      <c r="F59" s="3">
        <v>0</v>
      </c>
      <c r="G59" s="3">
        <f t="shared" si="2"/>
        <v>398</v>
      </c>
      <c r="H59" s="3">
        <f t="shared" si="3"/>
        <v>0.91191881918819195</v>
      </c>
      <c r="I59" s="36" t="s">
        <v>486</v>
      </c>
    </row>
    <row r="60" spans="1:9" ht="15" customHeight="1" x14ac:dyDescent="0.35">
      <c r="A60" s="5">
        <v>59</v>
      </c>
      <c r="B60" s="3" t="s">
        <v>80</v>
      </c>
      <c r="C60" s="3" t="s">
        <v>19</v>
      </c>
      <c r="D60" s="3">
        <v>2</v>
      </c>
      <c r="E60" s="4">
        <v>199</v>
      </c>
      <c r="F60" s="3">
        <v>0</v>
      </c>
      <c r="G60" s="3">
        <f t="shared" si="2"/>
        <v>398</v>
      </c>
      <c r="H60" s="3">
        <f t="shared" si="3"/>
        <v>0.91926199261992625</v>
      </c>
      <c r="I60" s="36" t="s">
        <v>486</v>
      </c>
    </row>
    <row r="61" spans="1:9" ht="15" customHeight="1" x14ac:dyDescent="0.35">
      <c r="A61" s="5">
        <v>60</v>
      </c>
      <c r="B61" s="6" t="s">
        <v>81</v>
      </c>
      <c r="C61" s="6" t="s">
        <v>10</v>
      </c>
      <c r="D61" s="6">
        <v>3</v>
      </c>
      <c r="E61" s="7">
        <v>125</v>
      </c>
      <c r="F61" s="6">
        <v>0</v>
      </c>
      <c r="G61" s="3">
        <f t="shared" si="2"/>
        <v>375</v>
      </c>
      <c r="H61" s="3">
        <f t="shared" si="3"/>
        <v>0.92618081180811818</v>
      </c>
      <c r="I61" s="36" t="s">
        <v>485</v>
      </c>
    </row>
    <row r="62" spans="1:9" ht="15" customHeight="1" x14ac:dyDescent="0.35">
      <c r="A62" s="5">
        <v>61</v>
      </c>
      <c r="B62" s="3" t="s">
        <v>82</v>
      </c>
      <c r="C62" s="3" t="s">
        <v>10</v>
      </c>
      <c r="D62" s="3">
        <v>2</v>
      </c>
      <c r="E62" s="4">
        <v>180</v>
      </c>
      <c r="F62" s="3">
        <v>0</v>
      </c>
      <c r="G62" s="3">
        <f t="shared" si="2"/>
        <v>360</v>
      </c>
      <c r="H62" s="3">
        <f t="shared" si="3"/>
        <v>0.9328228782287824</v>
      </c>
      <c r="I62" s="36" t="s">
        <v>486</v>
      </c>
    </row>
    <row r="63" spans="1:9" ht="15" customHeight="1" x14ac:dyDescent="0.35">
      <c r="A63" s="5">
        <v>62</v>
      </c>
      <c r="B63" s="3" t="s">
        <v>83</v>
      </c>
      <c r="C63" s="3" t="s">
        <v>10</v>
      </c>
      <c r="D63" s="3">
        <v>1</v>
      </c>
      <c r="E63" s="4">
        <v>350</v>
      </c>
      <c r="F63" s="3">
        <v>0</v>
      </c>
      <c r="G63" s="3">
        <f t="shared" si="2"/>
        <v>350</v>
      </c>
      <c r="H63" s="3">
        <f t="shared" si="3"/>
        <v>0.93928044280442813</v>
      </c>
      <c r="I63" s="36" t="s">
        <v>486</v>
      </c>
    </row>
    <row r="64" spans="1:9" ht="15" customHeight="1" x14ac:dyDescent="0.35">
      <c r="A64" s="5">
        <v>63</v>
      </c>
      <c r="B64" s="3" t="s">
        <v>84</v>
      </c>
      <c r="C64" s="3" t="s">
        <v>10</v>
      </c>
      <c r="D64" s="3">
        <v>2</v>
      </c>
      <c r="E64" s="4">
        <v>175</v>
      </c>
      <c r="F64" s="3">
        <v>0</v>
      </c>
      <c r="G64" s="3">
        <f t="shared" si="2"/>
        <v>350</v>
      </c>
      <c r="H64" s="3">
        <f t="shared" si="3"/>
        <v>0.94573800738007385</v>
      </c>
      <c r="I64" s="36" t="s">
        <v>486</v>
      </c>
    </row>
    <row r="65" spans="1:9" ht="15" customHeight="1" x14ac:dyDescent="0.35">
      <c r="A65" s="5">
        <v>64</v>
      </c>
      <c r="B65" s="3" t="s">
        <v>85</v>
      </c>
      <c r="C65" s="3" t="s">
        <v>10</v>
      </c>
      <c r="D65" s="3">
        <v>2</v>
      </c>
      <c r="E65" s="4">
        <v>175</v>
      </c>
      <c r="F65" s="3">
        <v>0</v>
      </c>
      <c r="G65" s="3">
        <f t="shared" si="2"/>
        <v>350</v>
      </c>
      <c r="H65" s="3">
        <f t="shared" si="3"/>
        <v>0.95219557195571958</v>
      </c>
      <c r="I65" s="36" t="s">
        <v>486</v>
      </c>
    </row>
    <row r="66" spans="1:9" ht="15" customHeight="1" x14ac:dyDescent="0.35">
      <c r="A66" s="5">
        <v>65</v>
      </c>
      <c r="B66" s="10" t="s">
        <v>86</v>
      </c>
      <c r="C66" s="3" t="s">
        <v>16</v>
      </c>
      <c r="D66" s="3">
        <v>2</v>
      </c>
      <c r="E66" s="4">
        <v>175</v>
      </c>
      <c r="F66" s="3">
        <v>0</v>
      </c>
      <c r="G66" s="3">
        <f t="shared" ref="G66:G76" si="4">D66*E66</f>
        <v>350</v>
      </c>
      <c r="H66" s="3">
        <f t="shared" si="3"/>
        <v>0.9586531365313653</v>
      </c>
      <c r="I66" s="36" t="s">
        <v>486</v>
      </c>
    </row>
    <row r="67" spans="1:9" ht="23.9" customHeight="1" x14ac:dyDescent="0.35">
      <c r="A67" s="5">
        <v>66</v>
      </c>
      <c r="B67" s="3" t="s">
        <v>87</v>
      </c>
      <c r="C67" s="3" t="s">
        <v>11</v>
      </c>
      <c r="D67" s="3">
        <v>1</v>
      </c>
      <c r="E67" s="4">
        <v>349</v>
      </c>
      <c r="F67" s="3">
        <v>0</v>
      </c>
      <c r="G67" s="3">
        <f t="shared" si="4"/>
        <v>349</v>
      </c>
      <c r="H67" s="3">
        <f t="shared" ref="H67:H76" si="5">H66+(G67/SUM(G$2:G$76))</f>
        <v>0.96509225092250917</v>
      </c>
      <c r="I67" s="36" t="s">
        <v>486</v>
      </c>
    </row>
    <row r="68" spans="1:9" ht="15" customHeight="1" x14ac:dyDescent="0.35">
      <c r="A68" s="5">
        <v>67</v>
      </c>
      <c r="B68" s="6" t="s">
        <v>88</v>
      </c>
      <c r="C68" s="6" t="s">
        <v>10</v>
      </c>
      <c r="D68" s="6">
        <v>1</v>
      </c>
      <c r="E68" s="7">
        <v>299</v>
      </c>
      <c r="F68" s="6">
        <v>0</v>
      </c>
      <c r="G68" s="3">
        <f t="shared" si="4"/>
        <v>299</v>
      </c>
      <c r="H68" s="3">
        <f t="shared" si="5"/>
        <v>0.97060885608856085</v>
      </c>
      <c r="I68" s="36" t="s">
        <v>486</v>
      </c>
    </row>
    <row r="69" spans="1:9" ht="15" customHeight="1" x14ac:dyDescent="0.35">
      <c r="A69" s="5">
        <v>68</v>
      </c>
      <c r="B69" s="3" t="s">
        <v>89</v>
      </c>
      <c r="C69" s="3" t="s">
        <v>10</v>
      </c>
      <c r="D69" s="3">
        <v>1</v>
      </c>
      <c r="E69" s="4">
        <v>299</v>
      </c>
      <c r="F69" s="3">
        <v>0</v>
      </c>
      <c r="G69" s="3">
        <f t="shared" si="4"/>
        <v>299</v>
      </c>
      <c r="H69" s="3">
        <f t="shared" si="5"/>
        <v>0.97612546125461253</v>
      </c>
      <c r="I69" s="36" t="s">
        <v>486</v>
      </c>
    </row>
    <row r="70" spans="1:9" ht="15" customHeight="1" x14ac:dyDescent="0.35">
      <c r="A70" s="5">
        <v>69</v>
      </c>
      <c r="B70" s="9" t="s">
        <v>90</v>
      </c>
      <c r="C70" s="6" t="s">
        <v>16</v>
      </c>
      <c r="D70" s="6">
        <v>1</v>
      </c>
      <c r="E70" s="7">
        <v>249</v>
      </c>
      <c r="F70" s="6">
        <v>0</v>
      </c>
      <c r="G70" s="3">
        <f t="shared" si="4"/>
        <v>249</v>
      </c>
      <c r="H70" s="3">
        <f t="shared" si="5"/>
        <v>0.98071955719557191</v>
      </c>
      <c r="I70" s="36" t="s">
        <v>486</v>
      </c>
    </row>
    <row r="71" spans="1:9" ht="15" customHeight="1" x14ac:dyDescent="0.35">
      <c r="A71" s="5">
        <v>70</v>
      </c>
      <c r="B71" s="10" t="s">
        <v>91</v>
      </c>
      <c r="C71" s="3" t="s">
        <v>16</v>
      </c>
      <c r="D71" s="3">
        <v>1</v>
      </c>
      <c r="E71" s="4">
        <v>249</v>
      </c>
      <c r="F71" s="3">
        <v>0</v>
      </c>
      <c r="G71" s="3">
        <f t="shared" si="4"/>
        <v>249</v>
      </c>
      <c r="H71" s="3">
        <f t="shared" si="5"/>
        <v>0.9853136531365313</v>
      </c>
      <c r="I71" s="36" t="s">
        <v>486</v>
      </c>
    </row>
    <row r="72" spans="1:9" ht="15" customHeight="1" x14ac:dyDescent="0.35">
      <c r="A72" s="5">
        <v>71</v>
      </c>
      <c r="B72" s="6" t="s">
        <v>92</v>
      </c>
      <c r="C72" s="6" t="s">
        <v>10</v>
      </c>
      <c r="D72" s="6">
        <v>2</v>
      </c>
      <c r="E72" s="7">
        <v>99</v>
      </c>
      <c r="F72" s="6">
        <v>0</v>
      </c>
      <c r="G72" s="3">
        <f t="shared" si="4"/>
        <v>198</v>
      </c>
      <c r="H72" s="3">
        <f t="shared" si="5"/>
        <v>0.98896678966789664</v>
      </c>
      <c r="I72" s="36" t="s">
        <v>486</v>
      </c>
    </row>
    <row r="73" spans="1:9" ht="15" customHeight="1" x14ac:dyDescent="0.35">
      <c r="A73" s="5">
        <v>72</v>
      </c>
      <c r="B73" s="3" t="s">
        <v>93</v>
      </c>
      <c r="C73" s="3" t="s">
        <v>16</v>
      </c>
      <c r="D73" s="3">
        <v>3</v>
      </c>
      <c r="E73" s="4">
        <v>50</v>
      </c>
      <c r="F73" s="3">
        <v>0</v>
      </c>
      <c r="G73" s="3">
        <f t="shared" si="4"/>
        <v>150</v>
      </c>
      <c r="H73" s="3">
        <f t="shared" si="5"/>
        <v>0.99173431734317341</v>
      </c>
      <c r="I73" s="36" t="s">
        <v>485</v>
      </c>
    </row>
    <row r="74" spans="1:9" ht="15" customHeight="1" x14ac:dyDescent="0.35">
      <c r="A74" s="5">
        <v>73</v>
      </c>
      <c r="B74" s="9" t="s">
        <v>94</v>
      </c>
      <c r="C74" s="6" t="s">
        <v>16</v>
      </c>
      <c r="D74" s="6">
        <v>2</v>
      </c>
      <c r="E74" s="7">
        <v>75</v>
      </c>
      <c r="F74" s="6">
        <v>0</v>
      </c>
      <c r="G74" s="3">
        <f t="shared" si="4"/>
        <v>150</v>
      </c>
      <c r="H74" s="3">
        <f t="shared" si="5"/>
        <v>0.99450184501845018</v>
      </c>
      <c r="I74" s="36" t="s">
        <v>486</v>
      </c>
    </row>
    <row r="75" spans="1:9" ht="23.9" customHeight="1" x14ac:dyDescent="0.35">
      <c r="A75" s="5">
        <v>74</v>
      </c>
      <c r="B75" s="6" t="s">
        <v>95</v>
      </c>
      <c r="C75" s="6" t="s">
        <v>16</v>
      </c>
      <c r="D75" s="6">
        <v>1</v>
      </c>
      <c r="E75" s="7">
        <v>149</v>
      </c>
      <c r="F75" s="6">
        <v>0</v>
      </c>
      <c r="G75" s="3">
        <f t="shared" si="4"/>
        <v>149</v>
      </c>
      <c r="H75" s="3">
        <f t="shared" si="5"/>
        <v>0.99725092250922509</v>
      </c>
      <c r="I75" s="36" t="s">
        <v>486</v>
      </c>
    </row>
    <row r="76" spans="1:9" ht="15" customHeight="1" x14ac:dyDescent="0.35">
      <c r="A76" s="5">
        <v>75</v>
      </c>
      <c r="B76" s="10" t="s">
        <v>68</v>
      </c>
      <c r="C76" s="3" t="s">
        <v>16</v>
      </c>
      <c r="D76" s="3">
        <v>1</v>
      </c>
      <c r="E76" s="4">
        <v>149</v>
      </c>
      <c r="F76" s="3">
        <v>0</v>
      </c>
      <c r="G76" s="3">
        <f t="shared" si="4"/>
        <v>149</v>
      </c>
      <c r="H76" s="3">
        <f t="shared" si="5"/>
        <v>1</v>
      </c>
      <c r="I76" s="36" t="s">
        <v>486</v>
      </c>
    </row>
  </sheetData>
  <conditionalFormatting sqref="A1:H1048576 I1:I76">
    <cfRule type="expression" dxfId="3" priority="4">
      <formula>MOD(ROW(),2)=0</formula>
    </cfRule>
  </conditionalFormatting>
  <conditionalFormatting sqref="A2:I76">
    <cfRule type="expression" dxfId="2" priority="1">
      <formula>MOD(ROW(),2)=1</formula>
    </cfRule>
    <cfRule type="expression" priority="3">
      <formula>MOD(ROW(),2)=1</formula>
    </cfRule>
  </conditionalFormatting>
  <conditionalFormatting sqref="C12">
    <cfRule type="expression" dxfId="1" priority="5">
      <formula>MOD(ROW(),2)=0</formula>
    </cfRule>
  </conditionalFormatting>
  <conditionalFormatting sqref="G3">
    <cfRule type="expression" dxfId="0" priority="2">
      <formula>MOD(ROW(),2)=1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6"/>
  <sheetViews>
    <sheetView tabSelected="1" topLeftCell="L18" zoomScale="53" zoomScaleNormal="53" workbookViewId="0">
      <selection activeCell="AN51" sqref="AN51"/>
    </sheetView>
  </sheetViews>
  <sheetFormatPr defaultRowHeight="14.5" x14ac:dyDescent="0.35"/>
  <cols>
    <col min="1" max="1" width="12.453125" customWidth="1"/>
    <col min="2" max="2" width="18" customWidth="1"/>
    <col min="3" max="3" width="20" customWidth="1"/>
    <col min="4" max="4" width="18" customWidth="1"/>
    <col min="5" max="6" width="14" customWidth="1"/>
    <col min="7" max="7" width="12" customWidth="1"/>
    <col min="8" max="8" width="20" customWidth="1"/>
    <col min="9" max="9" width="26" customWidth="1"/>
    <col min="10" max="10" width="8" customWidth="1"/>
    <col min="11" max="11" width="18.453125" customWidth="1"/>
    <col min="12" max="12" width="9.6328125" customWidth="1"/>
    <col min="13" max="13" width="38" customWidth="1"/>
    <col min="16" max="16" width="8.7265625" customWidth="1"/>
    <col min="17" max="17" width="32.08984375" customWidth="1"/>
    <col min="20" max="21" width="12.26953125" customWidth="1"/>
    <col min="22" max="22" width="11.36328125" customWidth="1"/>
  </cols>
  <sheetData>
    <row r="1" spans="1:22" ht="15.5" x14ac:dyDescent="0.35">
      <c r="A1" s="19" t="s">
        <v>323</v>
      </c>
      <c r="B1" s="19" t="s">
        <v>324</v>
      </c>
      <c r="C1" s="19" t="s">
        <v>325</v>
      </c>
      <c r="D1" s="19" t="s">
        <v>326</v>
      </c>
      <c r="E1" s="19" t="s">
        <v>2</v>
      </c>
      <c r="F1" s="19" t="s">
        <v>327</v>
      </c>
      <c r="G1" s="19" t="s">
        <v>328</v>
      </c>
      <c r="H1" s="19" t="s">
        <v>329</v>
      </c>
      <c r="I1" s="19" t="s">
        <v>330</v>
      </c>
      <c r="J1" s="19" t="s">
        <v>305</v>
      </c>
      <c r="K1" s="19" t="s">
        <v>450</v>
      </c>
      <c r="M1" s="21" t="s">
        <v>406</v>
      </c>
      <c r="Q1" t="s">
        <v>453</v>
      </c>
      <c r="T1" s="27" t="s">
        <v>463</v>
      </c>
      <c r="U1" s="29" t="s">
        <v>419</v>
      </c>
      <c r="V1" s="29" t="s">
        <v>420</v>
      </c>
    </row>
    <row r="2" spans="1:22" x14ac:dyDescent="0.35">
      <c r="A2" s="20" t="s">
        <v>331</v>
      </c>
      <c r="B2" s="20" t="s">
        <v>124</v>
      </c>
      <c r="C2" s="20" t="s">
        <v>332</v>
      </c>
      <c r="D2" s="20">
        <v>12.2</v>
      </c>
      <c r="E2" s="20" t="s">
        <v>10</v>
      </c>
      <c r="F2" s="20">
        <v>374</v>
      </c>
      <c r="G2" s="20" t="s">
        <v>118</v>
      </c>
      <c r="H2" s="20">
        <v>0</v>
      </c>
      <c r="I2" s="20" t="s">
        <v>333</v>
      </c>
      <c r="J2" s="20" t="s">
        <v>315</v>
      </c>
      <c r="K2">
        <f t="shared" ref="K2:K37" si="0">F2*D2</f>
        <v>4562.8</v>
      </c>
      <c r="M2" s="22" t="s">
        <v>407</v>
      </c>
      <c r="N2">
        <v>36</v>
      </c>
      <c r="Q2" t="s">
        <v>454</v>
      </c>
      <c r="R2" s="25">
        <f>COUNTIF(G2:G37,"Yes")/COUNTA(G2:G37)</f>
        <v>0.72222222222222221</v>
      </c>
      <c r="T2" s="30" t="s">
        <v>464</v>
      </c>
      <c r="U2" s="28">
        <f>COUNTIFS($D$2:$D$37,"&gt;=0",$D$2:$D$37,"&lt;6",$I$2:$I$37,"Converted (Paid)")</f>
        <v>20</v>
      </c>
      <c r="V2" s="28">
        <f>COUNTIFS($D$2:$D$37,"&gt;=0",$D$2:$D$37,"&lt;6",$I$2:$I$37,"Lost (No Payment / Ghosted)")</f>
        <v>0</v>
      </c>
    </row>
    <row r="3" spans="1:22" x14ac:dyDescent="0.35">
      <c r="A3" s="20" t="s">
        <v>334</v>
      </c>
      <c r="B3" s="20" t="s">
        <v>126</v>
      </c>
      <c r="C3" s="20" t="s">
        <v>335</v>
      </c>
      <c r="D3" s="20">
        <v>24.2</v>
      </c>
      <c r="E3" s="20" t="s">
        <v>11</v>
      </c>
      <c r="F3" s="20">
        <v>249</v>
      </c>
      <c r="G3" s="20" t="s">
        <v>136</v>
      </c>
      <c r="H3" s="20">
        <v>10</v>
      </c>
      <c r="I3" s="20" t="s">
        <v>333</v>
      </c>
      <c r="J3" s="20" t="s">
        <v>315</v>
      </c>
      <c r="K3">
        <f t="shared" si="0"/>
        <v>6025.8</v>
      </c>
      <c r="M3" s="22" t="s">
        <v>408</v>
      </c>
      <c r="N3">
        <v>29</v>
      </c>
      <c r="Q3" t="s">
        <v>455</v>
      </c>
      <c r="R3">
        <f>AVERAGEIF(G2:G37,"Yes",H2:H37)</f>
        <v>9.0384615384615383</v>
      </c>
      <c r="T3" s="30" t="s">
        <v>465</v>
      </c>
      <c r="U3" s="28">
        <f>COUNTIFS($D$2:$D$37,"&gt;=6",$D$2:$D$37,"&lt;24",$I$2:$I$37,"Converted (Paid)")</f>
        <v>4</v>
      </c>
      <c r="V3" s="28">
        <f>COUNTIFS($D$2:$D$37,"&gt;=6",$D$2:$D$37,"&lt;24",$I$2:$I$37,"Lost (No Payment / Ghosted)")</f>
        <v>0</v>
      </c>
    </row>
    <row r="4" spans="1:22" x14ac:dyDescent="0.35">
      <c r="A4" s="20" t="s">
        <v>336</v>
      </c>
      <c r="B4" s="20" t="s">
        <v>337</v>
      </c>
      <c r="C4" s="20" t="s">
        <v>338</v>
      </c>
      <c r="D4" s="20">
        <v>47.2</v>
      </c>
      <c r="E4" s="20" t="s">
        <v>10</v>
      </c>
      <c r="F4" s="20">
        <v>189</v>
      </c>
      <c r="G4" s="20" t="s">
        <v>136</v>
      </c>
      <c r="H4" s="20">
        <v>0</v>
      </c>
      <c r="I4" s="20" t="s">
        <v>339</v>
      </c>
      <c r="J4" s="20" t="s">
        <v>315</v>
      </c>
      <c r="K4">
        <f t="shared" si="0"/>
        <v>8920.8000000000011</v>
      </c>
      <c r="M4" s="22" t="s">
        <v>409</v>
      </c>
      <c r="N4">
        <v>7</v>
      </c>
      <c r="Q4" t="s">
        <v>456</v>
      </c>
      <c r="R4">
        <f>SUMIFS(F2:F37,G2:G37,"Yes",I2:I37,"Converted (Paid)")</f>
        <v>10230</v>
      </c>
      <c r="T4" s="30" t="s">
        <v>466</v>
      </c>
      <c r="U4" s="28">
        <f>COUNTIFS($D$2:$D$37,"&gt;=24",$D$2:$D$37,"&lt;48",$I$2:$I$37,"Converted (Paid)")</f>
        <v>5</v>
      </c>
      <c r="V4" s="28">
        <f>COUNTIFS($D$2:$D$37,"&gt;=24",$D$2:$D$37,"&lt;48",$I$2:$I$37,"Lost (No Payment / Ghosted)")</f>
        <v>2</v>
      </c>
    </row>
    <row r="5" spans="1:22" x14ac:dyDescent="0.35">
      <c r="A5" s="20" t="s">
        <v>340</v>
      </c>
      <c r="B5" s="20" t="s">
        <v>141</v>
      </c>
      <c r="C5" s="20" t="s">
        <v>341</v>
      </c>
      <c r="D5" s="20">
        <v>2.9</v>
      </c>
      <c r="E5" s="20" t="s">
        <v>10</v>
      </c>
      <c r="F5" s="20">
        <v>519</v>
      </c>
      <c r="G5" s="20" t="s">
        <v>136</v>
      </c>
      <c r="H5" s="20">
        <v>10</v>
      </c>
      <c r="I5" s="20" t="s">
        <v>333</v>
      </c>
      <c r="J5" s="20" t="s">
        <v>315</v>
      </c>
      <c r="K5">
        <f t="shared" si="0"/>
        <v>1505.1</v>
      </c>
      <c r="M5" s="22" t="s">
        <v>410</v>
      </c>
      <c r="N5">
        <v>19.399999999999999</v>
      </c>
      <c r="Q5" t="s">
        <v>457</v>
      </c>
      <c r="R5">
        <f>SUMIFS(F2:F37,G2:G37,"Yes",I2:I37,"Converted (Paid)")*(AVERAGEIF(G2:G37,"Yes",H2:H37)/100)</f>
        <v>924.63461538461536</v>
      </c>
      <c r="T5" s="30" t="s">
        <v>467</v>
      </c>
      <c r="U5" s="28">
        <f>COUNTIFS($D$2:$D$37,"&gt;=48",$I$2:$I$37,"Converted (Paid)")</f>
        <v>0</v>
      </c>
      <c r="V5" s="28">
        <f>COUNTIFS($D$2:$D$37,"&gt;=48",$I$2:$I$37,"Lost (No Payment / Ghosted)")</f>
        <v>5</v>
      </c>
    </row>
    <row r="6" spans="1:22" x14ac:dyDescent="0.35">
      <c r="A6" s="20" t="s">
        <v>342</v>
      </c>
      <c r="B6" s="20" t="s">
        <v>146</v>
      </c>
      <c r="C6" s="20" t="s">
        <v>343</v>
      </c>
      <c r="D6" s="20">
        <v>5</v>
      </c>
      <c r="E6" s="20" t="s">
        <v>10</v>
      </c>
      <c r="F6" s="20">
        <v>599</v>
      </c>
      <c r="G6" s="20" t="s">
        <v>136</v>
      </c>
      <c r="H6" s="20">
        <v>15</v>
      </c>
      <c r="I6" s="20" t="s">
        <v>333</v>
      </c>
      <c r="J6" s="20" t="s">
        <v>315</v>
      </c>
      <c r="K6">
        <f t="shared" si="0"/>
        <v>2995</v>
      </c>
      <c r="M6" s="22" t="s">
        <v>411</v>
      </c>
      <c r="N6">
        <v>16700</v>
      </c>
    </row>
    <row r="7" spans="1:22" x14ac:dyDescent="0.35">
      <c r="A7" s="20" t="s">
        <v>344</v>
      </c>
      <c r="B7" s="20" t="s">
        <v>148</v>
      </c>
      <c r="C7" s="20" t="s">
        <v>345</v>
      </c>
      <c r="D7" s="20">
        <v>5.6</v>
      </c>
      <c r="E7" s="20" t="s">
        <v>10</v>
      </c>
      <c r="F7" s="20">
        <v>398</v>
      </c>
      <c r="G7" s="20" t="s">
        <v>136</v>
      </c>
      <c r="H7" s="20">
        <v>10</v>
      </c>
      <c r="I7" s="20" t="s">
        <v>333</v>
      </c>
      <c r="J7" s="20" t="s">
        <v>315</v>
      </c>
      <c r="K7">
        <f t="shared" si="0"/>
        <v>2228.7999999999997</v>
      </c>
      <c r="M7" s="22" t="s">
        <v>412</v>
      </c>
      <c r="N7">
        <v>2320</v>
      </c>
    </row>
    <row r="8" spans="1:22" x14ac:dyDescent="0.35">
      <c r="A8" s="20" t="s">
        <v>346</v>
      </c>
      <c r="B8" s="20" t="s">
        <v>337</v>
      </c>
      <c r="C8" s="20" t="s">
        <v>347</v>
      </c>
      <c r="D8" s="20">
        <v>57.6</v>
      </c>
      <c r="E8" s="20" t="s">
        <v>11</v>
      </c>
      <c r="F8" s="20">
        <v>375</v>
      </c>
      <c r="G8" s="20" t="s">
        <v>118</v>
      </c>
      <c r="H8" s="20">
        <v>12</v>
      </c>
      <c r="I8" s="20" t="s">
        <v>339</v>
      </c>
      <c r="J8" s="20" t="s">
        <v>315</v>
      </c>
      <c r="K8">
        <f t="shared" si="0"/>
        <v>21600</v>
      </c>
      <c r="M8" s="22" t="s">
        <v>413</v>
      </c>
      <c r="N8">
        <v>10.6</v>
      </c>
      <c r="Q8" t="s">
        <v>458</v>
      </c>
      <c r="T8" s="27" t="s">
        <v>2</v>
      </c>
      <c r="U8" s="29" t="s">
        <v>468</v>
      </c>
    </row>
    <row r="9" spans="1:22" x14ac:dyDescent="0.35">
      <c r="A9" s="20" t="s">
        <v>348</v>
      </c>
      <c r="B9" s="20" t="s">
        <v>154</v>
      </c>
      <c r="C9" s="20" t="s">
        <v>349</v>
      </c>
      <c r="D9" s="20">
        <v>34.299999999999997</v>
      </c>
      <c r="E9" s="20" t="s">
        <v>11</v>
      </c>
      <c r="F9" s="20">
        <v>469</v>
      </c>
      <c r="G9" s="20" t="s">
        <v>118</v>
      </c>
      <c r="H9" s="20">
        <v>0</v>
      </c>
      <c r="I9" s="20" t="s">
        <v>333</v>
      </c>
      <c r="J9" s="20" t="s">
        <v>315</v>
      </c>
      <c r="K9">
        <f t="shared" si="0"/>
        <v>16086.699999999999</v>
      </c>
      <c r="M9" s="22" t="s">
        <v>414</v>
      </c>
      <c r="N9">
        <v>71</v>
      </c>
      <c r="Q9" t="s">
        <v>459</v>
      </c>
      <c r="R9">
        <f>COUNTIFS(I2:I37,"Lost (No Payment / Ghosted)",D2:D37,"&gt;24")</f>
        <v>7</v>
      </c>
      <c r="T9" s="30" t="s">
        <v>10</v>
      </c>
      <c r="U9" s="28">
        <v>5806</v>
      </c>
    </row>
    <row r="10" spans="1:22" x14ac:dyDescent="0.35">
      <c r="A10" s="20" t="s">
        <v>350</v>
      </c>
      <c r="B10" s="20" t="s">
        <v>170</v>
      </c>
      <c r="C10" s="20" t="s">
        <v>351</v>
      </c>
      <c r="D10" s="20">
        <v>4.5</v>
      </c>
      <c r="E10" s="20" t="s">
        <v>16</v>
      </c>
      <c r="F10" s="20">
        <v>279</v>
      </c>
      <c r="G10" s="20" t="s">
        <v>136</v>
      </c>
      <c r="H10" s="20">
        <v>10</v>
      </c>
      <c r="I10" s="20" t="s">
        <v>333</v>
      </c>
      <c r="J10" s="20" t="s">
        <v>317</v>
      </c>
      <c r="K10">
        <f t="shared" si="0"/>
        <v>1255.5</v>
      </c>
      <c r="M10" s="22" t="s">
        <v>415</v>
      </c>
      <c r="N10">
        <v>72.2</v>
      </c>
      <c r="Q10" t="s">
        <v>460</v>
      </c>
      <c r="R10">
        <f>SUMIFS(F2:F37,I2:I37,"Lost (No Payment / Ghosted)",D2:D37,"&gt;24")</f>
        <v>2320</v>
      </c>
      <c r="T10" s="30" t="s">
        <v>11</v>
      </c>
      <c r="U10" s="28">
        <v>8404</v>
      </c>
    </row>
    <row r="11" spans="1:22" x14ac:dyDescent="0.35">
      <c r="A11" s="20" t="s">
        <v>352</v>
      </c>
      <c r="B11" s="20" t="s">
        <v>174</v>
      </c>
      <c r="C11" s="20" t="s">
        <v>353</v>
      </c>
      <c r="D11" s="20">
        <v>47.5</v>
      </c>
      <c r="E11" s="20" t="s">
        <v>10</v>
      </c>
      <c r="F11" s="20">
        <v>548</v>
      </c>
      <c r="G11" s="20" t="s">
        <v>118</v>
      </c>
      <c r="H11" s="20">
        <v>0</v>
      </c>
      <c r="I11" s="20" t="s">
        <v>333</v>
      </c>
      <c r="J11" s="20" t="s">
        <v>317</v>
      </c>
      <c r="K11">
        <f t="shared" si="0"/>
        <v>26030</v>
      </c>
      <c r="M11" s="22" t="s">
        <v>416</v>
      </c>
      <c r="N11">
        <v>11.2</v>
      </c>
      <c r="Q11" t="s">
        <v>461</v>
      </c>
      <c r="R11">
        <f>COUNTIFS(I2:I37,"Lost (No Payment / Ghosted)",D2:D37,"&gt;48")</f>
        <v>5</v>
      </c>
      <c r="T11" s="30" t="s">
        <v>16</v>
      </c>
      <c r="U11" s="28">
        <v>1244</v>
      </c>
    </row>
    <row r="12" spans="1:22" x14ac:dyDescent="0.35">
      <c r="A12" s="20" t="s">
        <v>354</v>
      </c>
      <c r="B12" s="20" t="s">
        <v>176</v>
      </c>
      <c r="C12" s="20" t="s">
        <v>355</v>
      </c>
      <c r="D12" s="20">
        <v>25.7</v>
      </c>
      <c r="E12" s="20" t="s">
        <v>16</v>
      </c>
      <c r="F12" s="20">
        <v>398</v>
      </c>
      <c r="G12" s="20" t="s">
        <v>136</v>
      </c>
      <c r="H12" s="20">
        <v>10</v>
      </c>
      <c r="I12" s="20" t="s">
        <v>333</v>
      </c>
      <c r="J12" s="20" t="s">
        <v>317</v>
      </c>
      <c r="K12">
        <f t="shared" si="0"/>
        <v>10228.6</v>
      </c>
      <c r="Q12" t="s">
        <v>462</v>
      </c>
      <c r="R12">
        <f>SUMIFS(F2:F37,I2:I37,"Lost (No Payment / Ghosted)",D2:D37,"&gt;48")</f>
        <v>1813</v>
      </c>
      <c r="T12" s="30" t="s">
        <v>19</v>
      </c>
      <c r="U12" s="28">
        <v>1246</v>
      </c>
    </row>
    <row r="13" spans="1:22" x14ac:dyDescent="0.35">
      <c r="A13" s="20" t="s">
        <v>356</v>
      </c>
      <c r="B13" s="20" t="s">
        <v>178</v>
      </c>
      <c r="C13" s="20" t="s">
        <v>357</v>
      </c>
      <c r="D13" s="20">
        <v>2.8</v>
      </c>
      <c r="E13" s="20" t="s">
        <v>11</v>
      </c>
      <c r="F13" s="20">
        <v>903</v>
      </c>
      <c r="G13" s="20" t="s">
        <v>136</v>
      </c>
      <c r="H13" s="20">
        <v>7</v>
      </c>
      <c r="I13" s="20" t="s">
        <v>333</v>
      </c>
      <c r="J13" s="20" t="s">
        <v>317</v>
      </c>
      <c r="K13">
        <f t="shared" si="0"/>
        <v>2528.3999999999996</v>
      </c>
    </row>
    <row r="14" spans="1:22" x14ac:dyDescent="0.35">
      <c r="A14" s="20" t="s">
        <v>358</v>
      </c>
      <c r="B14" s="20" t="s">
        <v>182</v>
      </c>
      <c r="C14" s="20" t="s">
        <v>359</v>
      </c>
      <c r="D14" s="20">
        <v>1.9</v>
      </c>
      <c r="E14" s="20" t="s">
        <v>11</v>
      </c>
      <c r="F14" s="20">
        <v>598</v>
      </c>
      <c r="G14" s="20" t="s">
        <v>136</v>
      </c>
      <c r="H14" s="20">
        <v>8</v>
      </c>
      <c r="I14" s="20" t="s">
        <v>333</v>
      </c>
      <c r="J14" s="20" t="s">
        <v>317</v>
      </c>
      <c r="K14">
        <f t="shared" si="0"/>
        <v>1136.2</v>
      </c>
    </row>
    <row r="15" spans="1:22" x14ac:dyDescent="0.35">
      <c r="A15" s="20" t="s">
        <v>360</v>
      </c>
      <c r="B15" s="20" t="s">
        <v>190</v>
      </c>
      <c r="C15" s="20" t="s">
        <v>361</v>
      </c>
      <c r="D15" s="20">
        <v>2.2999999999999998</v>
      </c>
      <c r="E15" s="20" t="s">
        <v>11</v>
      </c>
      <c r="F15" s="20">
        <v>249</v>
      </c>
      <c r="G15" s="20" t="s">
        <v>118</v>
      </c>
      <c r="H15" s="20">
        <v>0</v>
      </c>
      <c r="I15" s="20" t="s">
        <v>333</v>
      </c>
      <c r="J15" s="20" t="s">
        <v>317</v>
      </c>
      <c r="K15">
        <f t="shared" si="0"/>
        <v>572.69999999999993</v>
      </c>
      <c r="M15" s="26" t="s">
        <v>417</v>
      </c>
      <c r="N15" s="23" t="s">
        <v>419</v>
      </c>
      <c r="O15" s="23" t="s">
        <v>420</v>
      </c>
      <c r="Q15" t="s">
        <v>437</v>
      </c>
      <c r="T15" s="27" t="s">
        <v>305</v>
      </c>
      <c r="U15" s="29" t="s">
        <v>468</v>
      </c>
    </row>
    <row r="16" spans="1:22" x14ac:dyDescent="0.35">
      <c r="A16" s="20" t="s">
        <v>362</v>
      </c>
      <c r="B16" s="20" t="s">
        <v>337</v>
      </c>
      <c r="C16" s="20" t="s">
        <v>363</v>
      </c>
      <c r="D16" s="20">
        <v>28.6</v>
      </c>
      <c r="E16" s="20" t="s">
        <v>16</v>
      </c>
      <c r="F16" s="20">
        <v>318</v>
      </c>
      <c r="G16" s="20" t="s">
        <v>136</v>
      </c>
      <c r="H16" s="20">
        <v>5</v>
      </c>
      <c r="I16" s="20" t="s">
        <v>339</v>
      </c>
      <c r="J16" s="20" t="s">
        <v>317</v>
      </c>
      <c r="K16">
        <f t="shared" si="0"/>
        <v>9094.8000000000011</v>
      </c>
      <c r="M16" s="26" t="s">
        <v>418</v>
      </c>
      <c r="N16">
        <f>AVERAGEIF(I2:I37,"Converted (Paid)",D2:D37)</f>
        <v>10.603448275862071</v>
      </c>
      <c r="O16">
        <f>AVERAGEIF(I2:I37,"Lost (No Payment / Ghosted)",D2:D37)</f>
        <v>70.985714285714295</v>
      </c>
      <c r="Q16" t="s">
        <v>438</v>
      </c>
      <c r="R16">
        <f>COUNTA(A2:A37)</f>
        <v>36</v>
      </c>
      <c r="T16" s="30" t="s">
        <v>315</v>
      </c>
      <c r="U16" s="28">
        <v>3172</v>
      </c>
    </row>
    <row r="17" spans="1:21" x14ac:dyDescent="0.35">
      <c r="A17" s="20" t="s">
        <v>364</v>
      </c>
      <c r="B17" s="20" t="s">
        <v>223</v>
      </c>
      <c r="C17" s="20" t="s">
        <v>365</v>
      </c>
      <c r="D17" s="20">
        <v>19.899999999999999</v>
      </c>
      <c r="E17" s="20" t="s">
        <v>11</v>
      </c>
      <c r="F17" s="20">
        <v>349</v>
      </c>
      <c r="G17" s="20" t="s">
        <v>136</v>
      </c>
      <c r="H17" s="20">
        <v>5</v>
      </c>
      <c r="I17" s="20" t="s">
        <v>333</v>
      </c>
      <c r="J17" s="20" t="s">
        <v>317</v>
      </c>
      <c r="K17">
        <f t="shared" si="0"/>
        <v>6945.0999999999995</v>
      </c>
      <c r="M17" s="24" t="s">
        <v>421</v>
      </c>
      <c r="N17" cm="1">
        <f t="array" ref="N17">MEDIAN(_xlfn._xlws.FILTER(D2:D37,I2:I37="Converted (Paid)"))</f>
        <v>4.5999999999999996</v>
      </c>
      <c r="O17" cm="1">
        <f t="array" ref="O17">MEDIAN(_xlfn._xlws.FILTER(D2:D37,I2:I37="Lost (No Payment / Ghosted)"))</f>
        <v>85.9</v>
      </c>
      <c r="Q17" t="s">
        <v>419</v>
      </c>
      <c r="R17">
        <f>COUNTIF(I2:I37,"Converted (Paid)")</f>
        <v>29</v>
      </c>
      <c r="T17" s="30" t="s">
        <v>317</v>
      </c>
      <c r="U17" s="28">
        <v>5097</v>
      </c>
    </row>
    <row r="18" spans="1:21" x14ac:dyDescent="0.35">
      <c r="A18" s="20" t="s">
        <v>366</v>
      </c>
      <c r="B18" s="20" t="s">
        <v>337</v>
      </c>
      <c r="C18" s="20" t="s">
        <v>367</v>
      </c>
      <c r="D18" s="20">
        <v>90.9</v>
      </c>
      <c r="E18" s="20" t="s">
        <v>11</v>
      </c>
      <c r="F18" s="20">
        <v>380</v>
      </c>
      <c r="G18" s="20" t="s">
        <v>136</v>
      </c>
      <c r="H18" s="20">
        <v>0</v>
      </c>
      <c r="I18" s="20" t="s">
        <v>339</v>
      </c>
      <c r="J18" s="20" t="s">
        <v>317</v>
      </c>
      <c r="K18">
        <f t="shared" si="0"/>
        <v>34542</v>
      </c>
      <c r="M18" t="s">
        <v>422</v>
      </c>
      <c r="N18" cm="1">
        <f t="array" ref="N18">_xlfn.STDEV.S(_xlfn._xlws.FILTER(D2:D37,I2:I37="Converted (Paid)"))</f>
        <v>12.752408253195064</v>
      </c>
      <c r="O18" cm="1">
        <f t="array" ref="O18">_xlfn.STDEV.S(_xlfn._xlws.FILTER(D2:D37,I2:I37="Lost (No Payment / Ghosted)"))</f>
        <v>26.564476817197551</v>
      </c>
      <c r="Q18" t="s">
        <v>420</v>
      </c>
      <c r="R18">
        <f>COUNTIF(I2:I37,"Lost (No Payment / Ghosted)")</f>
        <v>7</v>
      </c>
      <c r="T18" s="30" t="s">
        <v>319</v>
      </c>
      <c r="U18" s="28">
        <v>8431</v>
      </c>
    </row>
    <row r="19" spans="1:21" x14ac:dyDescent="0.35">
      <c r="A19" s="20" t="s">
        <v>368</v>
      </c>
      <c r="B19" s="20" t="s">
        <v>225</v>
      </c>
      <c r="C19" s="20" t="s">
        <v>369</v>
      </c>
      <c r="D19" s="20">
        <v>1.2</v>
      </c>
      <c r="E19" s="20" t="s">
        <v>11</v>
      </c>
      <c r="F19" s="20">
        <v>1075</v>
      </c>
      <c r="G19" s="20" t="s">
        <v>136</v>
      </c>
      <c r="H19" s="20">
        <v>10</v>
      </c>
      <c r="I19" s="20" t="s">
        <v>333</v>
      </c>
      <c r="J19" s="20" t="s">
        <v>317</v>
      </c>
      <c r="K19">
        <f t="shared" si="0"/>
        <v>1290</v>
      </c>
      <c r="M19" t="s">
        <v>423</v>
      </c>
      <c r="N19" cm="1">
        <f t="array" ref="N19">MIN(_xlfn._xlws.FILTER(D2:D37,I2:I37="Converted (Paid)"))</f>
        <v>1.2</v>
      </c>
      <c r="O19" cm="1">
        <f t="array" ref="O19">MIN(_xlfn._xlws.FILTER(D2:D37,I2:I37="Lost (No Payment / Ghosted)"))</f>
        <v>28.6</v>
      </c>
      <c r="Q19" t="s">
        <v>439</v>
      </c>
      <c r="R19" s="25">
        <f>COUNTIF(I2:I37,"Lost (No Payment / Ghosted)")/COUNTA(A2:A37)</f>
        <v>0.19444444444444445</v>
      </c>
    </row>
    <row r="20" spans="1:21" x14ac:dyDescent="0.35">
      <c r="A20" s="20" t="s">
        <v>370</v>
      </c>
      <c r="B20" s="20" t="s">
        <v>231</v>
      </c>
      <c r="C20" s="20" t="s">
        <v>371</v>
      </c>
      <c r="D20" s="20">
        <v>5.6</v>
      </c>
      <c r="E20" s="20" t="s">
        <v>19</v>
      </c>
      <c r="F20" s="20">
        <v>374</v>
      </c>
      <c r="G20" s="20" t="s">
        <v>136</v>
      </c>
      <c r="H20" s="20">
        <v>10</v>
      </c>
      <c r="I20" s="20" t="s">
        <v>333</v>
      </c>
      <c r="J20" s="20" t="s">
        <v>319</v>
      </c>
      <c r="K20">
        <f t="shared" si="0"/>
        <v>2094.4</v>
      </c>
      <c r="M20" t="s">
        <v>424</v>
      </c>
      <c r="N20" cm="1">
        <f t="array" ref="N20">MAX(_xlfn._xlws.FILTER(D2:D37,I2:I37="Converted (Paid)"))</f>
        <v>47.5</v>
      </c>
      <c r="O20" cm="1">
        <f t="array" ref="O20">MAX(_xlfn._xlws.FILTER(D2:D37,I2:I37="Lost (No Payment / Ghosted)"))</f>
        <v>99.4</v>
      </c>
      <c r="Q20" t="s">
        <v>440</v>
      </c>
      <c r="R20" s="25">
        <f>COUNTIF(I2:I37,"Converted (Paid)")/COUNTA(A2:A37)</f>
        <v>0.80555555555555558</v>
      </c>
    </row>
    <row r="21" spans="1:21" x14ac:dyDescent="0.35">
      <c r="A21" s="20" t="s">
        <v>372</v>
      </c>
      <c r="B21" s="20" t="s">
        <v>337</v>
      </c>
      <c r="C21" s="20" t="s">
        <v>373</v>
      </c>
      <c r="D21" s="20">
        <v>85.9</v>
      </c>
      <c r="E21" s="20" t="s">
        <v>10</v>
      </c>
      <c r="F21" s="20">
        <v>220</v>
      </c>
      <c r="G21" s="20" t="s">
        <v>136</v>
      </c>
      <c r="H21" s="20">
        <v>0</v>
      </c>
      <c r="I21" s="20" t="s">
        <v>339</v>
      </c>
      <c r="J21" s="20" t="s">
        <v>319</v>
      </c>
      <c r="K21">
        <f t="shared" si="0"/>
        <v>18898</v>
      </c>
      <c r="M21" t="s">
        <v>425</v>
      </c>
      <c r="N21" cm="1">
        <f t="array" ref="N21">MAX(_xlfn._xlws.FILTER(D2:D37,I2:I37="Converted (Paid)"))-MIN(_xlfn._xlws.FILTER(D2:D37,I2:I37="Converted (Paid)"))</f>
        <v>46.3</v>
      </c>
      <c r="O21" cm="1">
        <f t="array" ref="O21">MAX(_xlfn._xlws.FILTER(D2:D37,I2:I37="Lost (No Payment / Ghosted)"))-MIN(_xlfn._xlws.FILTER(D2:D37,I2:I37="Lost (No Payment / Ghosted)"))</f>
        <v>70.800000000000011</v>
      </c>
      <c r="Q21" t="s">
        <v>441</v>
      </c>
      <c r="R21" s="25">
        <f>COUNTIFS(E2:E37,"Earrings",I2:I37,"Lost (No Payment / Ghosted)")/COUNTIF(E2:E37,"Earrings")</f>
        <v>0.21428571428571427</v>
      </c>
      <c r="T21" s="27" t="s">
        <v>2</v>
      </c>
      <c r="U21" s="29" t="s">
        <v>439</v>
      </c>
    </row>
    <row r="22" spans="1:21" x14ac:dyDescent="0.35">
      <c r="A22" s="20" t="s">
        <v>374</v>
      </c>
      <c r="B22" s="20" t="s">
        <v>243</v>
      </c>
      <c r="C22" s="20" t="s">
        <v>375</v>
      </c>
      <c r="D22" s="20">
        <v>3.5</v>
      </c>
      <c r="E22" s="20" t="s">
        <v>19</v>
      </c>
      <c r="F22" s="20">
        <v>474</v>
      </c>
      <c r="G22" s="20" t="s">
        <v>118</v>
      </c>
      <c r="H22" s="20">
        <v>0</v>
      </c>
      <c r="I22" s="20" t="s">
        <v>333</v>
      </c>
      <c r="J22" s="20" t="s">
        <v>319</v>
      </c>
      <c r="K22">
        <f t="shared" si="0"/>
        <v>1659</v>
      </c>
      <c r="M22" t="s">
        <v>426</v>
      </c>
      <c r="N22" cm="1">
        <f t="array" ref="N22">_xlfn.STDEV.S(_xlfn._xlws.FILTER(D2:D37,I2:I37="Converted (Paid)"))/AVERAGE(_xlfn._xlws.FILTER(D2:D37,I2:I37="Converted (Paid)"))</f>
        <v>1.2026661442037618</v>
      </c>
      <c r="O22" cm="1">
        <f t="array" ref="O22">_xlfn.STDEV.S(_xlfn._xlws.FILTER(D2:D37,I2:I37="Lost (No Payment / Ghosted)"))/AVERAGE(_xlfn._xlws.FILTER(D2:D37,I2:I37="Lost (No Payment / Ghosted)"))</f>
        <v>0.37422285715512749</v>
      </c>
      <c r="Q22" t="s">
        <v>442</v>
      </c>
      <c r="R22" s="25">
        <f>COUNTIFS(E2:E37,"Bracelets",I2:I37,"Lost (No Payment / Ghosted)")/COUNTIF(E2:E37,"Bracelets")</f>
        <v>0.2</v>
      </c>
      <c r="T22" s="30" t="s">
        <v>10</v>
      </c>
      <c r="U22" s="31">
        <v>0.21</v>
      </c>
    </row>
    <row r="23" spans="1:21" x14ac:dyDescent="0.35">
      <c r="A23" s="20" t="s">
        <v>376</v>
      </c>
      <c r="B23" s="20" t="s">
        <v>251</v>
      </c>
      <c r="C23" s="20" t="s">
        <v>377</v>
      </c>
      <c r="D23" s="20">
        <v>17.100000000000001</v>
      </c>
      <c r="E23" s="20" t="s">
        <v>10</v>
      </c>
      <c r="F23" s="20">
        <v>175</v>
      </c>
      <c r="G23" s="20" t="s">
        <v>136</v>
      </c>
      <c r="H23" s="20">
        <v>15</v>
      </c>
      <c r="I23" s="20" t="s">
        <v>333</v>
      </c>
      <c r="J23" s="20" t="s">
        <v>319</v>
      </c>
      <c r="K23">
        <f t="shared" si="0"/>
        <v>2992.5000000000005</v>
      </c>
      <c r="Q23" t="s">
        <v>443</v>
      </c>
      <c r="R23" s="25">
        <f>COUNTIFS(E2:E37,"Rings",I2:I37,"Lost (No Payment / Ghosted)")/COUNTIF(E2:E37,"Rings")</f>
        <v>0.25</v>
      </c>
      <c r="T23" s="30" t="s">
        <v>11</v>
      </c>
      <c r="U23" s="31">
        <v>0.2</v>
      </c>
    </row>
    <row r="24" spans="1:21" x14ac:dyDescent="0.35">
      <c r="A24" s="20" t="s">
        <v>378</v>
      </c>
      <c r="B24" s="20" t="s">
        <v>254</v>
      </c>
      <c r="C24" s="20" t="s">
        <v>379</v>
      </c>
      <c r="D24" s="20">
        <v>4.7</v>
      </c>
      <c r="E24" s="20" t="s">
        <v>10</v>
      </c>
      <c r="F24" s="20">
        <v>598</v>
      </c>
      <c r="G24" s="20" t="s">
        <v>136</v>
      </c>
      <c r="H24" s="20">
        <v>20</v>
      </c>
      <c r="I24" s="20" t="s">
        <v>333</v>
      </c>
      <c r="J24" s="20" t="s">
        <v>319</v>
      </c>
      <c r="K24">
        <f t="shared" si="0"/>
        <v>2810.6</v>
      </c>
      <c r="Q24" t="s">
        <v>444</v>
      </c>
      <c r="R24" s="25">
        <f>COUNTIFS(E2:E37,"Neckpieces",I2:I37,"Lost (No Payment / Ghosted)")/COUNTIF(E2:E37,"Neckpieces")</f>
        <v>0</v>
      </c>
      <c r="T24" s="30" t="s">
        <v>16</v>
      </c>
      <c r="U24" s="31">
        <v>0.25</v>
      </c>
    </row>
    <row r="25" spans="1:21" x14ac:dyDescent="0.35">
      <c r="A25" s="20" t="s">
        <v>380</v>
      </c>
      <c r="B25" s="20" t="s">
        <v>260</v>
      </c>
      <c r="C25" s="20" t="s">
        <v>381</v>
      </c>
      <c r="D25" s="20">
        <v>2.1</v>
      </c>
      <c r="E25" s="20" t="s">
        <v>11</v>
      </c>
      <c r="F25" s="20">
        <v>774</v>
      </c>
      <c r="G25" s="20" t="s">
        <v>118</v>
      </c>
      <c r="H25" s="20">
        <v>0</v>
      </c>
      <c r="I25" s="20" t="s">
        <v>333</v>
      </c>
      <c r="J25" s="20" t="s">
        <v>319</v>
      </c>
      <c r="K25">
        <f t="shared" si="0"/>
        <v>1625.4</v>
      </c>
      <c r="M25" t="s">
        <v>427</v>
      </c>
      <c r="Q25" t="s">
        <v>445</v>
      </c>
      <c r="R25" s="25">
        <f>COUNTIFS(J2:J37,"Mar",I2:I37,"Lost (No Payment / Ghosted)")/COUNTIF(J2:J37,"Mar")</f>
        <v>0.25</v>
      </c>
      <c r="T25" s="30" t="s">
        <v>19</v>
      </c>
      <c r="U25" s="31">
        <v>0</v>
      </c>
    </row>
    <row r="26" spans="1:21" x14ac:dyDescent="0.35">
      <c r="A26" s="20" t="s">
        <v>382</v>
      </c>
      <c r="B26" s="20" t="s">
        <v>263</v>
      </c>
      <c r="C26" s="20" t="s">
        <v>383</v>
      </c>
      <c r="D26" s="20">
        <v>1.5</v>
      </c>
      <c r="E26" s="20" t="s">
        <v>10</v>
      </c>
      <c r="F26" s="20">
        <v>275</v>
      </c>
      <c r="G26" s="20" t="s">
        <v>136</v>
      </c>
      <c r="H26" s="20">
        <v>7</v>
      </c>
      <c r="I26" s="20" t="s">
        <v>333</v>
      </c>
      <c r="J26" s="20" t="s">
        <v>319</v>
      </c>
      <c r="K26">
        <f t="shared" si="0"/>
        <v>412.5</v>
      </c>
      <c r="M26" t="s">
        <v>428</v>
      </c>
      <c r="N26">
        <f>SUM(F2:F37)</f>
        <v>16700</v>
      </c>
      <c r="Q26" t="s">
        <v>446</v>
      </c>
      <c r="R26" s="25">
        <f>COUNTIFS(J2:J37,"Apr",I2:I37,"Lost (No Payment / Ghosted)")/COUNTIF(J2:J37,"Apr")</f>
        <v>0.2</v>
      </c>
    </row>
    <row r="27" spans="1:21" x14ac:dyDescent="0.35">
      <c r="A27" s="20" t="s">
        <v>384</v>
      </c>
      <c r="B27" s="20" t="s">
        <v>269</v>
      </c>
      <c r="C27" s="20" t="s">
        <v>385</v>
      </c>
      <c r="D27" s="20">
        <v>1.8</v>
      </c>
      <c r="E27" s="20" t="s">
        <v>10</v>
      </c>
      <c r="F27" s="20">
        <v>550</v>
      </c>
      <c r="G27" s="20" t="s">
        <v>136</v>
      </c>
      <c r="H27" s="20">
        <v>20</v>
      </c>
      <c r="I27" s="20" t="s">
        <v>333</v>
      </c>
      <c r="J27" s="20" t="s">
        <v>319</v>
      </c>
      <c r="K27">
        <f t="shared" si="0"/>
        <v>990</v>
      </c>
      <c r="M27" t="s">
        <v>429</v>
      </c>
      <c r="N27">
        <f>SUMIF(E2:E37,"Earrings",F2:F37)</f>
        <v>5806</v>
      </c>
      <c r="Q27" t="s">
        <v>447</v>
      </c>
      <c r="R27" s="25">
        <f>COUNTIFS(J2:J37,"May",I2:I37,"Lost (No Payment / Ghosted)")/COUNTIF(J2:J37,"May")</f>
        <v>0.16666666666666666</v>
      </c>
    </row>
    <row r="28" spans="1:21" x14ac:dyDescent="0.35">
      <c r="A28" s="20" t="s">
        <v>386</v>
      </c>
      <c r="B28" s="20" t="s">
        <v>337</v>
      </c>
      <c r="C28" s="20" t="s">
        <v>387</v>
      </c>
      <c r="D28" s="20">
        <v>87.3</v>
      </c>
      <c r="E28" s="20" t="s">
        <v>10</v>
      </c>
      <c r="F28" s="20">
        <v>198</v>
      </c>
      <c r="G28" s="20" t="s">
        <v>136</v>
      </c>
      <c r="H28" s="20">
        <v>0</v>
      </c>
      <c r="I28" s="20" t="s">
        <v>339</v>
      </c>
      <c r="J28" s="20" t="s">
        <v>319</v>
      </c>
      <c r="K28">
        <f t="shared" si="0"/>
        <v>17285.399999999998</v>
      </c>
      <c r="M28" t="s">
        <v>430</v>
      </c>
      <c r="N28">
        <f>SUMIF(E2:E37,"Bracelets",F2:F37)</f>
        <v>8404</v>
      </c>
      <c r="T28" s="27" t="s">
        <v>305</v>
      </c>
      <c r="U28" s="29" t="s">
        <v>439</v>
      </c>
    </row>
    <row r="29" spans="1:21" x14ac:dyDescent="0.35">
      <c r="A29" s="20" t="s">
        <v>388</v>
      </c>
      <c r="B29" s="20" t="s">
        <v>274</v>
      </c>
      <c r="C29" s="20" t="s">
        <v>389</v>
      </c>
      <c r="D29" s="20">
        <v>2.9</v>
      </c>
      <c r="E29" s="20" t="s">
        <v>16</v>
      </c>
      <c r="F29" s="20">
        <v>249</v>
      </c>
      <c r="G29" s="20" t="s">
        <v>118</v>
      </c>
      <c r="H29" s="20">
        <v>0</v>
      </c>
      <c r="I29" s="20" t="s">
        <v>333</v>
      </c>
      <c r="J29" s="20" t="s">
        <v>319</v>
      </c>
      <c r="K29">
        <f t="shared" si="0"/>
        <v>722.1</v>
      </c>
      <c r="M29" t="s">
        <v>431</v>
      </c>
      <c r="N29">
        <f>SUMIF(E2:E37,"Rings",F2:F37)</f>
        <v>1244</v>
      </c>
      <c r="T29" s="30" t="s">
        <v>315</v>
      </c>
      <c r="U29" s="31">
        <v>0.25</v>
      </c>
    </row>
    <row r="30" spans="1:21" x14ac:dyDescent="0.35">
      <c r="A30" s="20" t="s">
        <v>390</v>
      </c>
      <c r="B30" s="20" t="s">
        <v>277</v>
      </c>
      <c r="C30" s="20" t="s">
        <v>391</v>
      </c>
      <c r="D30" s="20">
        <v>5.9</v>
      </c>
      <c r="E30" s="20" t="s">
        <v>11</v>
      </c>
      <c r="F30" s="20">
        <v>450</v>
      </c>
      <c r="G30" s="20" t="s">
        <v>118</v>
      </c>
      <c r="H30" s="20">
        <v>0</v>
      </c>
      <c r="I30" s="20" t="s">
        <v>333</v>
      </c>
      <c r="J30" s="20" t="s">
        <v>319</v>
      </c>
      <c r="K30">
        <f t="shared" si="0"/>
        <v>2655</v>
      </c>
      <c r="M30" t="s">
        <v>432</v>
      </c>
      <c r="N30">
        <f>SUMIF(E2:E37,"Neckpieces",F2:F37)</f>
        <v>1246</v>
      </c>
      <c r="Q30" t="s">
        <v>448</v>
      </c>
      <c r="T30" s="30" t="s">
        <v>317</v>
      </c>
      <c r="U30" s="31">
        <v>0.2</v>
      </c>
    </row>
    <row r="31" spans="1:21" x14ac:dyDescent="0.35">
      <c r="A31" s="20" t="s">
        <v>392</v>
      </c>
      <c r="B31" s="20" t="s">
        <v>281</v>
      </c>
      <c r="C31" s="20" t="s">
        <v>393</v>
      </c>
      <c r="D31" s="20">
        <v>39.700000000000003</v>
      </c>
      <c r="E31" s="20" t="s">
        <v>10</v>
      </c>
      <c r="F31" s="20">
        <v>600</v>
      </c>
      <c r="G31" s="20" t="s">
        <v>136</v>
      </c>
      <c r="H31" s="20">
        <v>10</v>
      </c>
      <c r="I31" s="20" t="s">
        <v>333</v>
      </c>
      <c r="J31" s="20" t="s">
        <v>319</v>
      </c>
      <c r="K31">
        <f t="shared" si="0"/>
        <v>23820</v>
      </c>
      <c r="M31" t="s">
        <v>433</v>
      </c>
      <c r="N31">
        <f>SUMIF(J2:J37,"Mar",F2:F37)</f>
        <v>3172</v>
      </c>
      <c r="Q31" t="s">
        <v>449</v>
      </c>
      <c r="R31">
        <f>SUMIF(I2:I37,"Lost (No Payment / Ghosted)",F2:F37)</f>
        <v>2320</v>
      </c>
      <c r="T31" s="30" t="s">
        <v>319</v>
      </c>
      <c r="U31" s="31">
        <v>0.17</v>
      </c>
    </row>
    <row r="32" spans="1:21" x14ac:dyDescent="0.35">
      <c r="A32" s="20" t="s">
        <v>394</v>
      </c>
      <c r="B32" s="20" t="s">
        <v>280</v>
      </c>
      <c r="C32" s="20" t="s">
        <v>395</v>
      </c>
      <c r="D32" s="20">
        <v>4.5999999999999996</v>
      </c>
      <c r="E32" s="20" t="s">
        <v>11</v>
      </c>
      <c r="F32" s="20">
        <v>697</v>
      </c>
      <c r="G32" s="20" t="s">
        <v>136</v>
      </c>
      <c r="H32" s="20">
        <v>15</v>
      </c>
      <c r="I32" s="20" t="s">
        <v>333</v>
      </c>
      <c r="J32" s="20" t="s">
        <v>319</v>
      </c>
      <c r="K32">
        <f t="shared" si="0"/>
        <v>3206.2</v>
      </c>
      <c r="M32" t="s">
        <v>434</v>
      </c>
      <c r="N32">
        <f>SUMIF(J2:J37,"Apr",F2:F37)</f>
        <v>5097</v>
      </c>
      <c r="Q32" t="s">
        <v>451</v>
      </c>
      <c r="R32">
        <f>SUMIF(I2:I37,"Converted (Paid)",K2:K37)</f>
        <v>138871.4</v>
      </c>
    </row>
    <row r="33" spans="1:21" x14ac:dyDescent="0.35">
      <c r="A33" s="20" t="s">
        <v>396</v>
      </c>
      <c r="B33" s="20" t="s">
        <v>288</v>
      </c>
      <c r="C33" s="20" t="s">
        <v>397</v>
      </c>
      <c r="D33" s="20">
        <v>3.3</v>
      </c>
      <c r="E33" s="20" t="s">
        <v>10</v>
      </c>
      <c r="F33" s="20">
        <v>563</v>
      </c>
      <c r="G33" s="20" t="s">
        <v>118</v>
      </c>
      <c r="H33" s="20">
        <v>0</v>
      </c>
      <c r="I33" s="20" t="s">
        <v>333</v>
      </c>
      <c r="J33" s="20" t="s">
        <v>319</v>
      </c>
      <c r="K33">
        <f t="shared" si="0"/>
        <v>1857.8999999999999</v>
      </c>
      <c r="M33" t="s">
        <v>435</v>
      </c>
      <c r="N33">
        <f>SUMIF(J2:J37,"May",F2:F37)</f>
        <v>8431</v>
      </c>
      <c r="Q33" t="s">
        <v>452</v>
      </c>
      <c r="R33">
        <f>SUMIF(I2:I37,"Lost (No Payment / Ghosted)",K2:K37)</f>
        <v>173957</v>
      </c>
    </row>
    <row r="34" spans="1:21" x14ac:dyDescent="0.35">
      <c r="A34" s="20" t="s">
        <v>398</v>
      </c>
      <c r="B34" s="20" t="s">
        <v>290</v>
      </c>
      <c r="C34" s="20" t="s">
        <v>399</v>
      </c>
      <c r="D34" s="20">
        <v>21.5</v>
      </c>
      <c r="E34" s="20" t="s">
        <v>19</v>
      </c>
      <c r="F34" s="20">
        <v>398</v>
      </c>
      <c r="G34" s="20" t="s">
        <v>136</v>
      </c>
      <c r="H34" s="20">
        <v>8</v>
      </c>
      <c r="I34" s="20" t="s">
        <v>333</v>
      </c>
      <c r="J34" s="20" t="s">
        <v>319</v>
      </c>
      <c r="K34">
        <f t="shared" si="0"/>
        <v>8557</v>
      </c>
      <c r="M34" t="s">
        <v>436</v>
      </c>
      <c r="N34">
        <f>AVERAGE(F2:F37)</f>
        <v>463.88888888888891</v>
      </c>
      <c r="T34" s="27" t="s">
        <v>330</v>
      </c>
      <c r="U34" s="29" t="s">
        <v>469</v>
      </c>
    </row>
    <row r="35" spans="1:21" x14ac:dyDescent="0.35">
      <c r="A35" s="20" t="s">
        <v>400</v>
      </c>
      <c r="B35" s="20" t="s">
        <v>337</v>
      </c>
      <c r="C35" s="20" t="s">
        <v>401</v>
      </c>
      <c r="D35" s="20">
        <v>99.4</v>
      </c>
      <c r="E35" s="20" t="s">
        <v>11</v>
      </c>
      <c r="F35" s="20">
        <v>640</v>
      </c>
      <c r="G35" s="20" t="s">
        <v>136</v>
      </c>
      <c r="H35" s="20">
        <v>0</v>
      </c>
      <c r="I35" s="20" t="s">
        <v>339</v>
      </c>
      <c r="J35" s="20" t="s">
        <v>319</v>
      </c>
      <c r="K35">
        <f t="shared" si="0"/>
        <v>63616</v>
      </c>
      <c r="T35" s="30" t="s">
        <v>419</v>
      </c>
      <c r="U35" s="28">
        <v>29</v>
      </c>
    </row>
    <row r="36" spans="1:21" x14ac:dyDescent="0.35">
      <c r="A36" s="20" t="s">
        <v>402</v>
      </c>
      <c r="B36" s="20" t="s">
        <v>292</v>
      </c>
      <c r="C36" s="20" t="s">
        <v>403</v>
      </c>
      <c r="D36" s="20">
        <v>1.5</v>
      </c>
      <c r="E36" s="20" t="s">
        <v>11</v>
      </c>
      <c r="F36" s="20">
        <v>249</v>
      </c>
      <c r="G36" s="20" t="s">
        <v>136</v>
      </c>
      <c r="H36" s="20">
        <v>15</v>
      </c>
      <c r="I36" s="20" t="s">
        <v>333</v>
      </c>
      <c r="J36" s="20" t="s">
        <v>319</v>
      </c>
      <c r="K36">
        <f t="shared" si="0"/>
        <v>373.5</v>
      </c>
      <c r="T36" s="30" t="s">
        <v>420</v>
      </c>
      <c r="U36" s="28">
        <v>7</v>
      </c>
    </row>
    <row r="37" spans="1:21" x14ac:dyDescent="0.35">
      <c r="A37" s="20" t="s">
        <v>404</v>
      </c>
      <c r="B37" s="20" t="s">
        <v>297</v>
      </c>
      <c r="C37" s="20" t="s">
        <v>405</v>
      </c>
      <c r="D37" s="20">
        <v>1.8</v>
      </c>
      <c r="E37" s="20" t="s">
        <v>11</v>
      </c>
      <c r="F37" s="20">
        <v>947</v>
      </c>
      <c r="G37" s="20" t="s">
        <v>136</v>
      </c>
      <c r="H37" s="20">
        <v>15</v>
      </c>
      <c r="I37" s="20" t="s">
        <v>333</v>
      </c>
      <c r="J37" s="20" t="s">
        <v>319</v>
      </c>
      <c r="K37">
        <f t="shared" si="0"/>
        <v>1704.6000000000001</v>
      </c>
      <c r="M37" t="s">
        <v>330</v>
      </c>
      <c r="N37" t="s">
        <v>497</v>
      </c>
    </row>
    <row r="38" spans="1:21" x14ac:dyDescent="0.35">
      <c r="M38" t="s">
        <v>419</v>
      </c>
      <c r="N38">
        <v>69</v>
      </c>
    </row>
    <row r="39" spans="1:21" x14ac:dyDescent="0.35">
      <c r="M39" t="s">
        <v>420</v>
      </c>
      <c r="N39">
        <v>85.7</v>
      </c>
      <c r="T39" s="27" t="s">
        <v>470</v>
      </c>
      <c r="U39" s="29" t="s">
        <v>471</v>
      </c>
    </row>
    <row r="40" spans="1:21" ht="43.5" x14ac:dyDescent="0.35">
      <c r="T40" s="30" t="s">
        <v>472</v>
      </c>
      <c r="U40" s="28">
        <v>10230</v>
      </c>
    </row>
    <row r="41" spans="1:21" ht="43.5" x14ac:dyDescent="0.35">
      <c r="T41" s="30" t="s">
        <v>457</v>
      </c>
      <c r="U41" s="28">
        <v>925</v>
      </c>
    </row>
    <row r="44" spans="1:21" x14ac:dyDescent="0.35">
      <c r="T44" s="27" t="s">
        <v>473</v>
      </c>
      <c r="U44" s="29" t="s">
        <v>474</v>
      </c>
    </row>
    <row r="45" spans="1:21" ht="29" x14ac:dyDescent="0.35">
      <c r="T45" s="30" t="s">
        <v>475</v>
      </c>
      <c r="U45" s="28">
        <v>7</v>
      </c>
    </row>
    <row r="46" spans="1:21" ht="29" x14ac:dyDescent="0.35">
      <c r="T46" s="30" t="s">
        <v>476</v>
      </c>
      <c r="U46" s="28">
        <v>5</v>
      </c>
    </row>
    <row r="49" spans="1:22" ht="29" x14ac:dyDescent="0.35">
      <c r="T49" s="27" t="s">
        <v>473</v>
      </c>
      <c r="U49" s="29" t="s">
        <v>477</v>
      </c>
      <c r="V49" s="33" t="s">
        <v>481</v>
      </c>
    </row>
    <row r="50" spans="1:22" x14ac:dyDescent="0.35">
      <c r="T50" s="30" t="s">
        <v>478</v>
      </c>
      <c r="U50" s="28">
        <v>2320</v>
      </c>
      <c r="V50" s="32">
        <v>7</v>
      </c>
    </row>
    <row r="51" spans="1:22" x14ac:dyDescent="0.35">
      <c r="T51" s="30" t="s">
        <v>479</v>
      </c>
      <c r="U51" s="28">
        <v>1813</v>
      </c>
      <c r="V51" s="32">
        <v>5</v>
      </c>
    </row>
    <row r="52" spans="1:22" ht="16" customHeight="1" x14ac:dyDescent="0.35">
      <c r="A52" s="50"/>
      <c r="B52" s="51"/>
      <c r="C52" s="51"/>
      <c r="D52" s="51"/>
      <c r="E52" s="51"/>
      <c r="F52" s="51"/>
      <c r="G52" s="51"/>
      <c r="H52" s="51"/>
      <c r="I52" s="51"/>
      <c r="J52" s="51"/>
    </row>
    <row r="54" spans="1:22" x14ac:dyDescent="0.35">
      <c r="T54" s="27" t="s">
        <v>330</v>
      </c>
      <c r="U54" s="29" t="s">
        <v>480</v>
      </c>
    </row>
    <row r="55" spans="1:22" x14ac:dyDescent="0.35">
      <c r="T55" s="30" t="s">
        <v>419</v>
      </c>
      <c r="U55" s="28">
        <v>138871.4</v>
      </c>
    </row>
    <row r="56" spans="1:22" x14ac:dyDescent="0.35">
      <c r="T56" s="30" t="s">
        <v>420</v>
      </c>
      <c r="U56" s="28">
        <v>173957</v>
      </c>
    </row>
  </sheetData>
  <mergeCells count="1">
    <mergeCell ref="A52:J5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Invoices</vt:lpstr>
      <vt:lpstr>Daily Sales</vt:lpstr>
      <vt:lpstr>Product Summary</vt:lpstr>
      <vt:lpstr>Hold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919007212563</cp:lastModifiedBy>
  <cp:revision>0</cp:revision>
  <dcterms:created xsi:type="dcterms:W3CDTF">2026-06-07T14:21:09Z</dcterms:created>
  <dcterms:modified xsi:type="dcterms:W3CDTF">2026-08-09T15:35:48Z</dcterms:modified>
  <dc:language>en-US</dc:language>
</cp:coreProperties>
</file>